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NG_QUAN" sheetId="1" state="visible" r:id="rId1"/>
    <sheet xmlns:r="http://schemas.openxmlformats.org/officeDocument/2006/relationships" name="02_TRACKING_SERVICES" sheetId="2" state="visible" r:id="rId2"/>
    <sheet xmlns:r="http://schemas.openxmlformats.org/officeDocument/2006/relationships" name="03_DANH_MUC_CHUAN" sheetId="3" state="visible" r:id="rId3"/>
  </sheets>
  <definedNames>
    <definedName name="_xlnm._FilterDatabase" localSheetId="1" hidden="1">'02_TRACKING_SERVICES'!$A$5:$V$205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i val="1"/>
      <color rgb="00E2E8F0"/>
      <sz val="10"/>
    </font>
    <font>
      <name val="Segoe UI"/>
      <b val="1"/>
      <color rgb="00FFFFFF"/>
      <sz val="9"/>
    </font>
    <font>
      <name val="Segoe UI"/>
      <b val="1"/>
      <color rgb="001E3A8A"/>
      <sz val="10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E2E8F0"/>
        <b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34155"/>
        <bgColor rgb="00334155"/>
      </patternFill>
    </fill>
    <fill>
      <patternFill patternType="solid">
        <fgColor rgb="006366F1"/>
        <bgColor rgb="006366F1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center" vertical="center" wrapText="1"/>
    </xf>
    <xf numFmtId="164" fontId="4" fillId="15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164" fontId="4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164" fontId="4" fillId="17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center" vertical="center" wrapText="1"/>
    </xf>
    <xf numFmtId="164" fontId="4" fillId="18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pivotButton="0" quotePrefix="0" xfId="0"/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pivotButton="0" quotePrefix="0" xfId="0"/>
    <xf numFmtId="0" fontId="2" fillId="9" borderId="1" applyAlignment="1" pivotButton="0" quotePrefix="0" xfId="0">
      <alignment horizontal="left" vertical="center" wrapText="1"/>
    </xf>
    <xf numFmtId="0" fontId="2" fillId="9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854D0E"/>
        <sz val="10"/>
      </font>
      <fill>
        <patternFill patternType="solid">
          <fgColor rgb="00FEF9C3"/>
          <bgColor rgb="00FEF9C3"/>
        </patternFill>
      </fill>
    </dxf>
    <dxf>
      <font>
        <name val="Segoe UI"/>
        <i val="1"/>
        <color rgb="0064748B"/>
        <sz val="10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20" customWidth="1" min="4" max="4"/>
    <col width="38" customWidth="1" min="5" max="5"/>
    <col width="6" customWidth="1" min="6" max="6"/>
  </cols>
  <sheetData>
    <row r="1" ht="36" customHeight="1">
      <c r="A1" s="1" t="inlineStr">
        <is>
          <t>BẢNG TỔNG HỢP TIẾN ĐỘ TUÂN THỦ OBSERVABILITY TOÀN HỆ THỐNG</t>
        </is>
      </c>
    </row>
    <row r="2" ht="22" customHeight="1">
      <c r="A2" s="2" t="inlineStr">
        <is>
          <t>Số liệu tự động tổng hợp theo thời gian thực từ Sheet '02_TRACKING_SERVICES' (Dựa trên Quy định Observability v1.0 &amp; SDK v1.5.0 Multi-Target .NET 6/7/8)</t>
        </is>
      </c>
    </row>
    <row r="4" ht="28" customHeight="1">
      <c r="B4" s="3" t="inlineStr">
        <is>
          <t>I. TỔNG QUAN TUÂN THỦ &amp; NGHIỆM THU QUALITY GATE 2</t>
        </is>
      </c>
      <c r="C4" s="4" t="n"/>
      <c r="D4" s="4" t="n"/>
      <c r="E4" s="4" t="n"/>
    </row>
    <row r="5" ht="24" customHeight="1">
      <c r="B5" s="5" t="inlineStr">
        <is>
          <t>Chỉ tiêu thống kê</t>
        </is>
      </c>
      <c r="C5" s="6" t="inlineStr">
        <is>
          <t>Số lượng Service</t>
        </is>
      </c>
      <c r="D5" s="6" t="inlineStr">
        <is>
          <t>Tỷ lệ (%)</t>
        </is>
      </c>
      <c r="E5" s="5" t="inlineStr">
        <is>
          <t>Ghi chú / Ý nghĩa</t>
        </is>
      </c>
    </row>
    <row r="6" ht="24" customHeight="1">
      <c r="B6" s="7" t="inlineStr">
        <is>
          <t>Tổng số Services đang theo dõi</t>
        </is>
      </c>
      <c r="C6" s="8">
        <f>COUNTA('02_TRACKING_SERVICES'!C6:C205)</f>
        <v/>
      </c>
      <c r="D6" s="9">
        <f>IF(C6&gt;0, 1, 0)</f>
        <v/>
      </c>
      <c r="E6" s="7" t="inlineStr">
        <is>
          <t>Tổng số microservice có khai báo tên trong bảng Tracking</t>
        </is>
      </c>
    </row>
    <row r="7" ht="24" customHeight="1">
      <c r="B7" s="10" t="inlineStr">
        <is>
          <t>1. ĐẠT CHUẨN QUALITY GATE 2 (PASS - Sẵn sàng Go-Live)</t>
        </is>
      </c>
      <c r="C7" s="11">
        <f>COUNTIF('02_TRACKING_SERVICES'!R6:R205, "ĐẠT CHUẨN QG2 (PASS)")</f>
        <v/>
      </c>
      <c r="D7" s="12">
        <f>IF($C$6&gt;0, C7/$C$6, 0)</f>
        <v/>
      </c>
      <c r="E7" s="10" t="inlineStr">
        <is>
          <t>Đủ 3 trục + Đủ 3 tầng Dashboard + Qua OTel Collector chuẩn</t>
        </is>
      </c>
    </row>
    <row r="8" ht="24" customHeight="1">
      <c r="B8" s="13" t="inlineStr">
        <is>
          <t>2. ĐANG HOÀN THIỆN (PENDING - Thiếu trục hoặc Dashboard)</t>
        </is>
      </c>
      <c r="C8" s="14">
        <f>COUNTIF('02_TRACKING_SERVICES'!R6:R205, "ĐANG HOÀN THIỆN (PENDING)")</f>
        <v/>
      </c>
      <c r="D8" s="15">
        <f>IF($C$6&gt;0, C8/$C$6, 0)</f>
        <v/>
      </c>
      <c r="E8" s="13" t="inlineStr">
        <is>
          <t>Đã triển khai một phần nhưng chưa đủ điều kiện qua QG2</t>
        </is>
      </c>
    </row>
    <row r="9" ht="24" customHeight="1">
      <c r="B9" s="16" t="inlineStr">
        <is>
          <t>3. VI PHẠM KIẾN TRÚC (BLOCKER - Đẩy thẳng Kafka/ES)</t>
        </is>
      </c>
      <c r="C9" s="17">
        <f>COUNTIF('02_TRACKING_SERVICES'!R6:R205, "VI PHẠM (BLOCKER)")</f>
        <v/>
      </c>
      <c r="D9" s="18">
        <f>IF($C$6&gt;0, C9/$C$6, 0)</f>
        <v/>
      </c>
      <c r="E9" s="16" t="inlineStr">
        <is>
          <t>Bắt buộc chặn release (Vi phạm mục 7.3 Single OTLP Path)</t>
        </is>
      </c>
    </row>
    <row r="10" ht="24" customHeight="1">
      <c r="B10" s="19" t="inlineStr">
        <is>
          <t>4. CHƯA TRIỂN KHAI (NOT STARTED)</t>
        </is>
      </c>
      <c r="C10" s="20">
        <f>COUNTIF('02_TRACKING_SERVICES'!R6:R205, "CHƯA TRIỂN KHAI")</f>
        <v/>
      </c>
      <c r="D10" s="21">
        <f>IF($C$6&gt;0, C10/$C$6, 0)</f>
        <v/>
      </c>
      <c r="E10" s="19" t="inlineStr">
        <is>
          <t>Service chưa gắn bất kỳ trục hay dashboard nào</t>
        </is>
      </c>
    </row>
    <row r="12" ht="28" customHeight="1">
      <c r="B12" s="22" t="inlineStr">
        <is>
          <t>II. TIẾN ĐỘ TÍCH HỢP 3 TRỤC OBSERVABILITY (LOGGING - TRACING - METRICS)</t>
        </is>
      </c>
      <c r="C12" s="23" t="n"/>
      <c r="D12" s="23" t="n"/>
      <c r="E12" s="23" t="n"/>
    </row>
    <row r="13" ht="24" customHeight="1">
      <c r="B13" s="5" t="inlineStr">
        <is>
          <t>Trụ cột Observability</t>
        </is>
      </c>
      <c r="C13" s="6" t="inlineStr">
        <is>
          <t>Số Service Đạt chuẩn</t>
        </is>
      </c>
      <c r="D13" s="6" t="inlineStr">
        <is>
          <t>Tỷ lệ Hoàn thành</t>
        </is>
      </c>
      <c r="E13" s="5" t="inlineStr">
        <is>
          <t>Yêu cầu cốt lõi trong Quy định</t>
        </is>
      </c>
    </row>
    <row r="14" ht="24" customHeight="1">
      <c r="B14" s="24" t="inlineStr">
        <is>
          <t>Trục 1: LOGGING (Structured JSON, snake_case, PII Masking)</t>
        </is>
      </c>
      <c r="C14" s="25">
        <f>COUNTIF('02_TRACKING_SERVICES'!H6:H205, "Đã hoàn thành (Đạt chuẩn)")</f>
        <v/>
      </c>
      <c r="D14" s="26">
        <f>IF($C$6&gt;0, C14/$C$6, 0)</f>
        <v/>
      </c>
      <c r="E14" s="24" t="inlineStr">
        <is>
          <t>Mục 4: JSON chuẩn, không text tự do, không lộ PII</t>
        </is>
      </c>
    </row>
    <row r="15" ht="24" customHeight="1">
      <c r="B15" s="24" t="inlineStr">
        <is>
          <t>Trục 2: TRACING (W3C/B3 Context, Auto &amp; Custom Spans)</t>
        </is>
      </c>
      <c r="C15" s="25">
        <f>COUNTIF('02_TRACKING_SERVICES'!I6:I205, "Đã hoàn thành (Đạt chuẩn)")</f>
        <v/>
      </c>
      <c r="D15" s="26">
        <f>IF($C$6&gt;0, C15/$C$6, 0)</f>
        <v/>
      </c>
      <c r="E15" s="24" t="inlineStr">
        <is>
          <t>Mục 5: Truyền traceparent liên tục, khớp Trace ID với Log</t>
        </is>
      </c>
    </row>
    <row r="16" ht="24" customHeight="1">
      <c r="B16" s="24" t="inlineStr">
        <is>
          <t>Trục 3: METRICS (Golden Signals, Low Cardinality)</t>
        </is>
      </c>
      <c r="C16" s="25">
        <f>COUNTIF('02_TRACKING_SERVICES'!J6:J205, "Đã hoàn thành (Đạt chuẩn)")</f>
        <v/>
      </c>
      <c r="D16" s="26">
        <f>IF($C$6&gt;0, C16/$C$6, 0)</f>
        <v/>
      </c>
      <c r="E16" s="24" t="inlineStr">
        <is>
          <t>Mục 6: RPS, Latency p50/p95/p99, Error Rate, SDK Active</t>
        </is>
      </c>
    </row>
    <row r="17" ht="24" customHeight="1">
      <c r="B17" s="10" t="inlineStr">
        <is>
          <t>TỔNG SỐ SERVICE ĐÃ GẮN ĐẦY ĐỦ CẢ 3 TRỤC (FULL 3 PILLARS)</t>
        </is>
      </c>
      <c r="C17" s="11">
        <f>COUNTIF('02_TRACKING_SERVICES'!K6:K205, "ĐỦ 3 TRỤC (100%)")</f>
        <v/>
      </c>
      <c r="D17" s="12">
        <f>IF($C$6&gt;0, C17/$C$6, 0)</f>
        <v/>
      </c>
      <c r="E17" s="10" t="inlineStr">
        <is>
          <t>Hoàn thành đồng thời cả 3 trục Logging + Tracing + Metrics</t>
        </is>
      </c>
    </row>
    <row r="19" ht="28" customHeight="1">
      <c r="B19" s="27" t="inlineStr">
        <is>
          <t>III. TIẾN ĐỘ XÂY DỰNG 3 LEVEL DASHBOARD (MỤC 8 QUY ĐỊNH)</t>
        </is>
      </c>
      <c r="C19" s="28" t="n"/>
      <c r="D19" s="28" t="n"/>
      <c r="E19" s="28" t="n"/>
    </row>
    <row r="20" ht="24" customHeight="1">
      <c r="B20" s="5" t="inlineStr">
        <is>
          <t>Cấp độ Dashboard</t>
        </is>
      </c>
      <c r="C20" s="6" t="inlineStr">
        <is>
          <t>Số Service Đã có</t>
        </is>
      </c>
      <c r="D20" s="6" t="inlineStr">
        <is>
          <t>Tỷ lệ Hoàn thành</t>
        </is>
      </c>
      <c r="E20" s="5" t="inlineStr">
        <is>
          <t>Đối tượng sử dụng &amp; Nội dung bắt buộc</t>
        </is>
      </c>
    </row>
    <row r="21" ht="24" customHeight="1">
      <c r="B21" s="24" t="inlineStr">
        <is>
          <t>Level 1: Executive Overview Dashboard</t>
        </is>
      </c>
      <c r="C21" s="25">
        <f>COUNTIF('02_TRACKING_SERVICES'!L6:L205, "Đã có (Đạt chuẩn)")</f>
        <v/>
      </c>
      <c r="D21" s="26">
        <f>IF($C$6&gt;0, C21/$C$6, 0)</f>
        <v/>
      </c>
      <c r="E21" s="24" t="inlineStr">
        <is>
          <t>Ban điều hành: Golden Signals (Traffic, Latency, Error, Saturation)</t>
        </is>
      </c>
    </row>
    <row r="22" ht="24" customHeight="1">
      <c r="B22" s="24" t="inlineStr">
        <is>
          <t>Level 2: Developer Deep-Dive Dashboard</t>
        </is>
      </c>
      <c r="C22" s="25">
        <f>COUNTIF('02_TRACKING_SERVICES'!M6:M205, "Đã có (Đạt chuẩn)")</f>
        <v/>
      </c>
      <c r="D22" s="26">
        <f>IF($C$6&gt;0, C22/$C$6, 0)</f>
        <v/>
      </c>
      <c r="E22" s="24" t="inlineStr">
        <is>
          <t>Developer / Tech Lead: APM, truy vết theo Trace ID</t>
        </is>
      </c>
    </row>
    <row r="23" ht="24" customHeight="1">
      <c r="B23" s="24" t="inlineStr">
        <is>
          <t>Level 3: Infrastructure &amp; Runtime Dashboard</t>
        </is>
      </c>
      <c r="C23" s="25">
        <f>COUNTIF('02_TRACKING_SERVICES'!N6:N205, "Đã có (Đạt chuẩn)")</f>
        <v/>
      </c>
      <c r="D23" s="26">
        <f>IF($C$6&gt;0, C23/$C$6, 0)</f>
        <v/>
      </c>
      <c r="E23" s="24" t="inlineStr">
        <is>
          <t>DevOps / SRE: Memory, CPU, GC, ThreadPool</t>
        </is>
      </c>
    </row>
    <row r="24" ht="24" customHeight="1">
      <c r="B24" s="10" t="inlineStr">
        <is>
          <t>TỔNG SỐ SERVICE ĐÃ ĐỦ CẢ 3 LEVEL DASHBOARD</t>
        </is>
      </c>
      <c r="C24" s="11">
        <f>COUNTIF('02_TRACKING_SERVICES'!O6:O205, "ĐỦ 3 LEVEL DASHBOARD")</f>
        <v/>
      </c>
      <c r="D24" s="12">
        <f>IF($C$6&gt;0, C24/$C$6, 0)</f>
        <v/>
      </c>
      <c r="E24" s="10" t="inlineStr">
        <is>
          <t>Đạt đủ cả 3 tầng Dashboard theo Mục 8</t>
        </is>
      </c>
    </row>
    <row r="26" ht="28" customHeight="1">
      <c r="B26" s="29" t="inlineStr">
        <is>
          <t>IV. THỐNG KÊ THEO TECH STACK (ĐÁNH GIÁ ĐỘ PHỦ SDK .NET 6 / 7 / 8)</t>
        </is>
      </c>
      <c r="C26" s="30" t="n"/>
      <c r="D26" s="30" t="n"/>
      <c r="E26" s="30" t="n"/>
    </row>
    <row r="27" ht="24" customHeight="1">
      <c r="B27" s="5" t="inlineStr">
        <is>
          <t>Tech Stack của Service</t>
        </is>
      </c>
      <c r="C27" s="6" t="inlineStr">
        <is>
          <t>Số lượng Service</t>
        </is>
      </c>
      <c r="D27" s="6" t="inlineStr">
        <is>
          <t>Tỷ trọng (%)</t>
        </is>
      </c>
      <c r="E27" s="5" t="inlineStr">
        <is>
          <t>Cơ chế Tích hợp Chuẩn</t>
        </is>
      </c>
    </row>
    <row r="28" ht="24" customHeight="1">
      <c r="B28" s="10" t="inlineStr">
        <is>
          <t>.NET 8 (SDK v1.5+ hỗ trợ chính thức)</t>
        </is>
      </c>
      <c r="C28" s="11">
        <f>COUNTIF('02_TRACKING_SERVICES'!E6:E205, ".NET 8 (SDK v1.5+ hỗ trợ chính thức)")</f>
        <v/>
      </c>
      <c r="D28" s="12">
        <f>IF($C$6&gt;0, C28/$C$6, 0)</f>
        <v/>
      </c>
      <c r="E28" s="10" t="inlineStr">
        <is>
          <t>Cài trực tiếp NuGet package ISC.Observability v1.5.0</t>
        </is>
      </c>
    </row>
    <row r="29" ht="24" customHeight="1">
      <c r="B29" s="10" t="inlineStr">
        <is>
          <t>.NET 6 / .NET 7 (SDK v1.5+ hỗ trợ chính thức)</t>
        </is>
      </c>
      <c r="C29" s="11">
        <f>COUNTIF('02_TRACKING_SERVICES'!E6:E205, ".NET 6 / .NET 7 (SDK v1.5+ hỗ trợ chính thức)")</f>
        <v/>
      </c>
      <c r="D29" s="12">
        <f>IF($C$6&gt;0, C29/$C$6, 0)</f>
        <v/>
      </c>
      <c r="E29" s="10" t="inlineStr">
        <is>
          <t>Cài trực tiếp NuGet package ISC.Observability v1.5.0 (Multi-target)</t>
        </is>
      </c>
    </row>
    <row r="30" ht="24" customHeight="1">
      <c r="B30" s="24" t="inlineStr">
        <is>
          <t>.NET Framework (Legacy)</t>
        </is>
      </c>
      <c r="C30" s="25">
        <f>COUNTIF('02_TRACKING_SERVICES'!E6:E205, ".NET Framework (Legacy)")</f>
        <v/>
      </c>
      <c r="D30" s="26">
        <f>IF($C$6&gt;0, C30/$C$6, 0)</f>
        <v/>
      </c>
      <c r="E30" s="24" t="inlineStr">
        <is>
          <t>Dùng OpenTelemetry .NET Framework SDK / OTel Native</t>
        </is>
      </c>
    </row>
    <row r="31" ht="24" customHeight="1">
      <c r="B31" s="24" t="inlineStr">
        <is>
          <t>Node.js / NestJS</t>
        </is>
      </c>
      <c r="C31" s="25">
        <f>COUNTIF('02_TRACKING_SERVICES'!E6:E205, "Node.js / NestJS")</f>
        <v/>
      </c>
      <c r="D31" s="26">
        <f>IF($C$6&gt;0, C31/$C$6, 0)</f>
        <v/>
      </c>
      <c r="E31" s="24" t="inlineStr">
        <is>
          <t>Dùng @opentelemetry/sdk-node + Biến môi trường chuẩn</t>
        </is>
      </c>
    </row>
    <row r="32" ht="24" customHeight="1">
      <c r="B32" s="24" t="inlineStr">
        <is>
          <t>Python (FastAPI / Django)</t>
        </is>
      </c>
      <c r="C32" s="25">
        <f>COUNTIF('02_TRACKING_SERVICES'!E6:E205, "Python (FastAPI / Django)")</f>
        <v/>
      </c>
      <c r="D32" s="26">
        <f>IF($C$6&gt;0, C32/$C$6, 0)</f>
        <v/>
      </c>
      <c r="E32" s="24" t="inlineStr">
        <is>
          <t>Dùng opentelemetry-distro + Biến môi trường chuẩn</t>
        </is>
      </c>
    </row>
    <row r="33" ht="24" customHeight="1">
      <c r="B33" s="24" t="inlineStr">
        <is>
          <t>Go (Golang)</t>
        </is>
      </c>
      <c r="C33" s="25">
        <f>COUNTIF('02_TRACKING_SERVICES'!E6:E205, "Go (Golang)")</f>
        <v/>
      </c>
      <c r="D33" s="26">
        <f>IF($C$6&gt;0, C33/$C$6, 0)</f>
        <v/>
      </c>
      <c r="E33" s="24" t="inlineStr">
        <is>
          <t>Dùng go.opentelemetry.io/otel + Biến môi trường chuẩn</t>
        </is>
      </c>
    </row>
    <row r="34" ht="24" customHeight="1">
      <c r="B34" s="24" t="inlineStr">
        <is>
          <t>Java / Spring Boot</t>
        </is>
      </c>
      <c r="C34" s="25">
        <f>COUNTIF('02_TRACKING_SERVICES'!E6:E205, "Java / Spring Boot")</f>
        <v/>
      </c>
      <c r="D34" s="26">
        <f>IF($C$6&gt;0, C34/$C$6, 0)</f>
        <v/>
      </c>
      <c r="E34" s="24" t="inlineStr">
        <is>
          <t>Dùng opentelemetry-javaagent + Biến môi trường chuẩn</t>
        </is>
      </c>
    </row>
    <row r="35" ht="24" customHeight="1">
      <c r="B35" s="24" t="inlineStr">
        <is>
          <t>Khác</t>
        </is>
      </c>
      <c r="C35" s="25">
        <f>COUNTIF('02_TRACKING_SERVICES'!E6:E205, "Khác")</f>
        <v/>
      </c>
      <c r="D35" s="26">
        <f>IF($C$6&gt;0, C35/$C$6, 0)</f>
        <v/>
      </c>
      <c r="E35" s="24" t="inlineStr">
        <is>
          <t>Cấu hình xuất OTLP HTTP Protobuf về OTel Collector:4318</t>
        </is>
      </c>
    </row>
  </sheetData>
  <mergeCells count="6">
    <mergeCell ref="A2:F2"/>
    <mergeCell ref="B26:E26"/>
    <mergeCell ref="B4:E4"/>
    <mergeCell ref="B12:E12"/>
    <mergeCell ref="A1:F1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5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18" customWidth="1" min="4" max="4"/>
    <col width="28" customWidth="1" min="5" max="5"/>
    <col width="30" customWidth="1" min="6" max="6"/>
    <col width="28" customWidth="1" min="7" max="7"/>
    <col width="25" customWidth="1" min="8" max="8"/>
    <col width="25" customWidth="1" min="9" max="9"/>
    <col width="25" customWidth="1" min="10" max="10"/>
    <col width="24" customWidth="1" min="11" max="11"/>
    <col width="22" customWidth="1" min="12" max="12"/>
    <col width="22" customWidth="1" min="13" max="13"/>
    <col width="22" customWidth="1" min="14" max="14"/>
    <col width="24" customWidth="1" min="15" max="15"/>
    <col width="28" customWidth="1" min="16" max="16"/>
    <col width="24" customWidth="1" min="17" max="17"/>
    <col width="26" customWidth="1" min="18" max="18"/>
    <col width="30" customWidth="1" min="19" max="19"/>
    <col width="20" customWidth="1" min="20" max="20"/>
    <col width="18" customWidth="1" min="21" max="21"/>
    <col width="32" customWidth="1" min="22" max="22"/>
  </cols>
  <sheetData>
    <row r="1" ht="34" customHeight="1">
      <c r="A1" s="1" t="inlineStr">
        <is>
          <t>BIỂU MẪU THEO DÕI MỨC ĐỘ TUÂN THỦ TIÊU CHUẨN OBSERVABILITY (3 TRỤC &amp; 3 LEVEL DASHBOARD)</t>
        </is>
      </c>
    </row>
    <row r="2" ht="22" customHeight="1">
      <c r="A2" s="2" t="inlineStr">
        <is>
          <t>Hướng dẫn: Các cột nhãn [NHẬP TEXT] do đơn vị tự điền | Các cột nhãn [CHỌN DANH MỤC] bấm mũi tên chọn từ danh sách chuẩn | Các cột nhãn [TỰ ĐỘNG TÍNH] có nền xanh nhạt do hệ thống tự động đánh giá.</t>
        </is>
      </c>
    </row>
    <row r="3" ht="26" customHeight="1">
      <c r="A3" s="31" t="inlineStr">
        <is>
          <t>1. THÔNG TIN ĐỊNH DANH SERVICE &amp; TECH STACK</t>
        </is>
      </c>
      <c r="B3" s="32" t="n"/>
      <c r="C3" s="32" t="n"/>
      <c r="D3" s="32" t="n"/>
      <c r="E3" s="32" t="n"/>
      <c r="F3" s="32" t="n"/>
      <c r="G3" s="32" t="n"/>
      <c r="H3" s="33" t="inlineStr">
        <is>
          <t>2. TRẠNG THÁI 3 TRỤC OBSERVABILITY (3 PILLARS)</t>
        </is>
      </c>
      <c r="I3" s="34" t="n"/>
      <c r="J3" s="34" t="n"/>
      <c r="K3" s="34" t="n"/>
      <c r="L3" s="35" t="inlineStr">
        <is>
          <t>3. TRẠNG THÁI 3 LEVEL DASHBOARD (MỤC 8 QUY ĐỊNH)</t>
        </is>
      </c>
      <c r="M3" s="36" t="n"/>
      <c r="N3" s="36" t="n"/>
      <c r="O3" s="36" t="n"/>
      <c r="P3" s="37" t="inlineStr">
        <is>
          <t>4. HẠ TẦNG OTLP &amp; NGHIỆM THU QUALITY GATE 2</t>
        </is>
      </c>
      <c r="Q3" s="38" t="n"/>
      <c r="R3" s="38" t="n"/>
      <c r="S3" s="39" t="inlineStr">
        <is>
          <t>5. THÔNG TIN QUẢN TRỊ &amp; LIÊN KẾT</t>
        </is>
      </c>
      <c r="T3" s="40" t="n"/>
      <c r="U3" s="40" t="n"/>
      <c r="V3" s="40" t="n"/>
    </row>
    <row r="4" ht="32" customHeight="1">
      <c r="A4" s="31" t="inlineStr">
        <is>
          <t>STT</t>
        </is>
      </c>
      <c r="B4" s="31" t="inlineStr">
        <is>
          <t>Tên Hệ thống / Dự án</t>
        </is>
      </c>
      <c r="C4" s="31" t="inlineStr">
        <is>
          <t>Tên Service
(Chuẩn kebab-case-svc)</t>
        </is>
      </c>
      <c r="D4" s="31" t="inlineStr">
        <is>
          <t>Môi trường
(Environment)</t>
        </is>
      </c>
      <c r="E4" s="31" t="inlineStr">
        <is>
          <t>Tech Stack của Service</t>
        </is>
      </c>
      <c r="F4" s="31" t="inlineStr">
        <is>
          <t>Khả năng hỗ trợ của SDK
(Hỗ trợ .NET 6 / 7 / 8)</t>
        </is>
      </c>
      <c r="G4" s="31" t="inlineStr">
        <is>
          <t>Phương thức Tích hợp</t>
        </is>
      </c>
      <c r="H4" s="33" t="inlineStr">
        <is>
          <t>Trục 1: LOGGING
(JSON, snake_case, Mask PII)</t>
        </is>
      </c>
      <c r="I4" s="33" t="inlineStr">
        <is>
          <t>Trục 2: TRACING
(W3C/B3, Auto &amp; Custom Span)</t>
        </is>
      </c>
      <c r="J4" s="33" t="inlineStr">
        <is>
          <t>Trục 3: METRICS
(Golden Signals, Low Card.)</t>
        </is>
      </c>
      <c r="K4" s="33" t="inlineStr">
        <is>
          <t>Tổng hợp 3 Trục
(Full 3 Pillars)</t>
        </is>
      </c>
      <c r="L4" s="35" t="inlineStr">
        <is>
          <t>Dashboard Level 1
Executive Overview</t>
        </is>
      </c>
      <c r="M4" s="35" t="inlineStr">
        <is>
          <t>Dashboard Level 2
Developer Deep-Dive</t>
        </is>
      </c>
      <c r="N4" s="35" t="inlineStr">
        <is>
          <t>Dashboard Level 3
Infra &amp; Runtime</t>
        </is>
      </c>
      <c r="O4" s="35" t="inlineStr">
        <is>
          <t>Tổng hợp Dashboard
(Full 3 Levels)</t>
        </is>
      </c>
      <c r="P4" s="37" t="inlineStr">
        <is>
          <t>Đường truyền Telemetry
(Single OTLP Path)</t>
        </is>
      </c>
      <c r="Q4" s="37" t="inlineStr">
        <is>
          <t>Tín hiệu SDK Active
(observability.sdk.active=1)</t>
        </is>
      </c>
      <c r="R4" s="37" t="inlineStr">
        <is>
          <t>KẾT QUẢ TUÂN THỦ
(QUALITY GATE 2)</t>
        </is>
      </c>
      <c r="S4" s="39" t="inlineStr">
        <is>
          <t>Link Dashboard
(Kibana / SigNoz / Grafana)</t>
        </is>
      </c>
      <c r="T4" s="39" t="inlineStr">
        <is>
          <t>Tech Lead / PIC</t>
        </is>
      </c>
      <c r="U4" s="39" t="inlineStr">
        <is>
          <t>Ngày cập nhật /
Deadline hoàn thành</t>
        </is>
      </c>
      <c r="V4" s="39" t="inlineStr">
        <is>
          <t>Ghi chú / Vướng mắc</t>
        </is>
      </c>
    </row>
    <row r="5" ht="20" customHeight="1">
      <c r="A5" s="41" t="inlineStr">
        <is>
          <t>[TỰ ĐỘNG]</t>
        </is>
      </c>
      <c r="B5" s="42" t="inlineStr">
        <is>
          <t>[NHẬP TEXT]</t>
        </is>
      </c>
      <c r="C5" s="42" t="inlineStr">
        <is>
          <t>[NHẬP TEXT]</t>
        </is>
      </c>
      <c r="D5" s="43" t="inlineStr">
        <is>
          <t>[CHỌN DANH MỤC]</t>
        </is>
      </c>
      <c r="E5" s="43" t="inlineStr">
        <is>
          <t>[CHỌN DANH MỤC]</t>
        </is>
      </c>
      <c r="F5" s="41" t="inlineStr">
        <is>
          <t>[TỰ ĐỘNG TÍNH]</t>
        </is>
      </c>
      <c r="G5" s="43" t="inlineStr">
        <is>
          <t>[CHỌN DANH MỤC]</t>
        </is>
      </c>
      <c r="H5" s="43" t="inlineStr">
        <is>
          <t>[CHỌN DANH MỤC]</t>
        </is>
      </c>
      <c r="I5" s="43" t="inlineStr">
        <is>
          <t>[CHỌN DANH MỤC]</t>
        </is>
      </c>
      <c r="J5" s="43" t="inlineStr">
        <is>
          <t>[CHỌN DANH MỤC]</t>
        </is>
      </c>
      <c r="K5" s="41" t="inlineStr">
        <is>
          <t>[TỰ ĐỘNG TÍNH]</t>
        </is>
      </c>
      <c r="L5" s="43" t="inlineStr">
        <is>
          <t>[CHỌN DANH MỤC]</t>
        </is>
      </c>
      <c r="M5" s="43" t="inlineStr">
        <is>
          <t>[CHỌN DANH MỤC]</t>
        </is>
      </c>
      <c r="N5" s="43" t="inlineStr">
        <is>
          <t>[CHỌN DANH MỤC]</t>
        </is>
      </c>
      <c r="O5" s="41" t="inlineStr">
        <is>
          <t>[TỰ ĐỘNG TÍNH]</t>
        </is>
      </c>
      <c r="P5" s="43" t="inlineStr">
        <is>
          <t>[CHỌN DANH MỤC]</t>
        </is>
      </c>
      <c r="Q5" s="43" t="inlineStr">
        <is>
          <t>[CHỌN DANH MỤC]</t>
        </is>
      </c>
      <c r="R5" s="41" t="inlineStr">
        <is>
          <t>[TỰ ĐỘNG TÍNH]</t>
        </is>
      </c>
      <c r="S5" s="42" t="inlineStr">
        <is>
          <t>[NHẬP TEXT]</t>
        </is>
      </c>
      <c r="T5" s="42" t="inlineStr">
        <is>
          <t>[NHẬP TEXT]</t>
        </is>
      </c>
      <c r="U5" s="42" t="inlineStr">
        <is>
          <t>[NHẬP TEXT]</t>
        </is>
      </c>
      <c r="V5" s="42" t="inlineStr">
        <is>
          <t>[NHẬP TEXT]</t>
        </is>
      </c>
    </row>
    <row r="6" ht="24" customHeight="1">
      <c r="A6" s="44">
        <f>IF(COUNTA(B6:C6)=0, "", COUNTA($C$6:C6))</f>
        <v/>
      </c>
      <c r="B6" s="45" t="inlineStr">
        <is>
          <t>Hệ thống Thanh toán (Core Payment)</t>
        </is>
      </c>
      <c r="C6" s="46" t="inlineStr">
        <is>
          <t>payment-svc</t>
        </is>
      </c>
      <c r="D6" s="47" t="inlineStr">
        <is>
          <t>Production</t>
        </is>
      </c>
      <c r="E6" s="47" t="inlineStr">
        <is>
          <t>.NET 8 (SDK v1.5+ hỗ trợ chính thức)</t>
        </is>
      </c>
      <c r="F6" s="44">
        <f>IF(E6="", "", IF(OR(E6=".NET 8 (SDK v1.5+ hỗ trợ chính thức)", E6=".NET 6 / .NET 7 (SDK v1.5+ hỗ trợ chính thức)"), "Hỗ trợ chuẩn SDK (.NET 6/7/8)", "Ngoài phạm vi SDK (Dùng OTel Native)"))</f>
        <v/>
      </c>
      <c r="G6" s="47" t="inlineStr">
        <is>
          <t>Đã cài SDK ISC.Observability (.NET 6/7/8)</t>
        </is>
      </c>
      <c r="H6" s="47" t="inlineStr">
        <is>
          <t>Đã hoàn thành (Đạt chuẩn)</t>
        </is>
      </c>
      <c r="I6" s="47" t="inlineStr">
        <is>
          <t>Đã hoàn thành (Đạt chuẩn)</t>
        </is>
      </c>
      <c r="J6" s="47" t="inlineStr">
        <is>
          <t>Đã hoàn thành (Đạt chuẩn)</t>
        </is>
      </c>
      <c r="K6" s="44">
        <f>IF(COUNTA(H6:J6)=0, "", IF(COUNTIF(H6:J6, "Đã hoàn thành (Đạt chuẩn)")=3, "ĐỦ 3 TRỤC (100%)", IF(COUNTIF(H6:J6, "Chưa triển khai")=3, "CHƯA GẮN (0%)", "THIẾU / CHƯA ĐẠT (" &amp; COUNTIF(H6:J6, "Đã hoàn thành (Đạt chuẩn)") &amp; "/3)")))</f>
        <v/>
      </c>
      <c r="L6" s="47" t="inlineStr">
        <is>
          <t>Đã có (Đạt chuẩn)</t>
        </is>
      </c>
      <c r="M6" s="47" t="inlineStr">
        <is>
          <t>Đã có (Đạt chuẩn)</t>
        </is>
      </c>
      <c r="N6" s="47" t="inlineStr">
        <is>
          <t>Đã có (Đạt chuẩn)</t>
        </is>
      </c>
      <c r="O6" s="44">
        <f>IF(COUNTA(L6:N6)=0, "", IF(COUNTIF(L6:N6, "Đã có (Đạt chuẩn)")=3, "ĐỦ 3 LEVEL DASHBOARD", IF(COUNTIF(L6:N6, "Chưa có")=3, "CHƯA CÓ DASHBOARD", "THIẾU DASHBOARD (" &amp; COUNTIF(L6:N6, "Đã có (Đạt chuẩn)") &amp; "/3)")))</f>
        <v/>
      </c>
      <c r="P6" s="47" t="inlineStr">
        <is>
          <t>Qua OTel Collector (Đúng chuẩn)</t>
        </is>
      </c>
      <c r="Q6" s="47" t="inlineStr">
        <is>
          <t>Đã ghi nhận (= 1)</t>
        </is>
      </c>
      <c r="R6" s="44">
        <f>IF(C6="", "", IF(P6="Đẩy thẳng Kafka / ES (Vi phạm BLOCKER)", "VI PHẠM (BLOCKER)", IF(AND(K6="ĐỦ 3 TRỤC (100%)", O6="ĐỦ 3 LEVEL DASHBOARD", P6="Qua OTel Collector (Đúng chuẩn)"), "ĐẠT CHUẨN QG2 (PASS)", IF(AND(K6="CHƯA GẮN (0%)", O6="CHƯA CÓ DASHBOARD"), "CHƯA TRIỂN KHAI", "ĐANG HOÀN THIỆN (PENDING)"))))</f>
        <v/>
      </c>
      <c r="S6" s="45" t="inlineStr">
        <is>
          <t>https://kibana.isc.internal/app/dashboards#/view/payment-svc</t>
        </is>
      </c>
      <c r="T6" s="45" t="inlineStr">
        <is>
          <t>Nguyễn Văn A</t>
        </is>
      </c>
      <c r="U6" s="47" t="inlineStr">
        <is>
          <t>2026-09-29</t>
        </is>
      </c>
      <c r="V6" s="45" t="inlineStr">
        <is>
          <t>Mẫu: Đã đạt chuẩn toàn diện Quality Gate 2 (Có thể xóa/ghi đè dòng mẫu này)</t>
        </is>
      </c>
    </row>
    <row r="7" ht="24" customHeight="1">
      <c r="A7" s="44">
        <f>IF(COUNTA(B7:C7)=0, "", COUNTA($C$6:C7))</f>
        <v/>
      </c>
      <c r="B7" s="24" t="inlineStr">
        <is>
          <t>Hệ thống Đơn hàng (E-Commerce)</t>
        </is>
      </c>
      <c r="C7" s="48" t="inlineStr">
        <is>
          <t>order-svc</t>
        </is>
      </c>
      <c r="D7" s="25" t="inlineStr">
        <is>
          <t>Staging / UAT</t>
        </is>
      </c>
      <c r="E7" s="25" t="inlineStr">
        <is>
          <t>.NET 6 / .NET 7 (SDK v1.5+ hỗ trợ chính thức)</t>
        </is>
      </c>
      <c r="F7" s="44">
        <f>IF(E7="", "", IF(OR(E7=".NET 8 (SDK v1.5+ hỗ trợ chính thức)", E7=".NET 6 / .NET 7 (SDK v1.5+ hỗ trợ chính thức)"), "Hỗ trợ chuẩn SDK (.NET 6/7/8)", "Ngoài phạm vi SDK (Dùng OTel Native)"))</f>
        <v/>
      </c>
      <c r="G7" s="25" t="inlineStr">
        <is>
          <t>Đã cài SDK ISC.Observability (.NET 6/7/8)</t>
        </is>
      </c>
      <c r="H7" s="25" t="inlineStr">
        <is>
          <t>Đã hoàn thành (Đạt chuẩn)</t>
        </is>
      </c>
      <c r="I7" s="25" t="inlineStr">
        <is>
          <t>Đã hoàn thành (Đạt chuẩn)</t>
        </is>
      </c>
      <c r="J7" s="25" t="inlineStr">
        <is>
          <t>Đang triển khai</t>
        </is>
      </c>
      <c r="K7" s="44">
        <f>IF(COUNTA(H7:J7)=0, "", IF(COUNTIF(H7:J7, "Đã hoàn thành (Đạt chuẩn)")=3, "ĐỦ 3 TRỤC (100%)", IF(COUNTIF(H7:J7, "Chưa triển khai")=3, "CHƯA GẮN (0%)", "THIẾU / CHƯA ĐẠT (" &amp; COUNTIF(H7:J7, "Đã hoàn thành (Đạt chuẩn)") &amp; "/3)")))</f>
        <v/>
      </c>
      <c r="L7" s="25" t="inlineStr">
        <is>
          <t>Đã có (Đạt chuẩn)</t>
        </is>
      </c>
      <c r="M7" s="25" t="inlineStr">
        <is>
          <t>Đã có (Đạt chuẩn)</t>
        </is>
      </c>
      <c r="N7" s="25" t="inlineStr">
        <is>
          <t>Đang xây dựng</t>
        </is>
      </c>
      <c r="O7" s="44">
        <f>IF(COUNTA(L7:N7)=0, "", IF(COUNTIF(L7:N7, "Đã có (Đạt chuẩn)")=3, "ĐỦ 3 LEVEL DASHBOARD", IF(COUNTIF(L7:N7, "Chưa có")=3, "CHƯA CÓ DASHBOARD", "THIẾU DASHBOARD (" &amp; COUNTIF(L7:N7, "Đã có (Đạt chuẩn)") &amp; "/3)")))</f>
        <v/>
      </c>
      <c r="P7" s="25" t="inlineStr">
        <is>
          <t>Qua OTel Collector (Đúng chuẩn)</t>
        </is>
      </c>
      <c r="Q7" s="25" t="inlineStr">
        <is>
          <t>Đã ghi nhận (= 1)</t>
        </is>
      </c>
      <c r="R7" s="44">
        <f>IF(C7="", "", IF(P7="Đẩy thẳng Kafka / ES (Vi phạm BLOCKER)", "VI PHẠM (BLOCKER)", IF(AND(K7="ĐỦ 3 TRỤC (100%)", O7="ĐỦ 3 LEVEL DASHBOARD", P7="Qua OTel Collector (Đúng chuẩn)"), "ĐẠT CHUẨN QG2 (PASS)", IF(AND(K7="CHƯA GẮN (0%)", O7="CHƯA CÓ DASHBOARD"), "CHƯA TRIỂN KHAI", "ĐANG HOÀN THIỆN (PENDING)"))))</f>
        <v/>
      </c>
      <c r="S7" s="24" t="inlineStr">
        <is>
          <t>https://kibana.isc.internal/app/dashboards#/view/order-svc</t>
        </is>
      </c>
      <c r="T7" s="24" t="inlineStr">
        <is>
          <t>Trần Thị B</t>
        </is>
      </c>
      <c r="U7" s="25" t="inlineStr">
        <is>
          <t>2026-10-05</t>
        </is>
      </c>
      <c r="V7" s="24" t="inlineStr">
        <is>
          <t>Mẫu: Service .NET 6 cài trực tiếp SDK v1.5.0, đang hoàn thiện Dashboard Layer 3</t>
        </is>
      </c>
    </row>
    <row r="8" ht="24" customHeight="1">
      <c r="A8" s="44">
        <f>IF(COUNTA(B8:C8)=0, "", COUNTA($C$6:C8))</f>
        <v/>
      </c>
      <c r="B8" s="45" t="inlineStr">
        <is>
          <t>Hệ thống Thông báo (Notification Hub)</t>
        </is>
      </c>
      <c r="C8" s="46" t="inlineStr">
        <is>
          <t>notification-svc</t>
        </is>
      </c>
      <c r="D8" s="47" t="inlineStr">
        <is>
          <t>Production</t>
        </is>
      </c>
      <c r="E8" s="47" t="inlineStr">
        <is>
          <t>Node.js / NestJS</t>
        </is>
      </c>
      <c r="F8" s="44">
        <f>IF(E8="", "", IF(OR(E8=".NET 8 (SDK v1.5+ hỗ trợ chính thức)", E8=".NET 6 / .NET 7 (SDK v1.5+ hỗ trợ chính thức)"), "Hỗ trợ chuẩn SDK (.NET 6/7/8)", "Ngoài phạm vi SDK (Dùng OTel Native)"))</f>
        <v/>
      </c>
      <c r="G8" s="47" t="inlineStr">
        <is>
          <t>Cấu hình OTel Native (Biến môi trường)</t>
        </is>
      </c>
      <c r="H8" s="47" t="inlineStr">
        <is>
          <t>Đã hoàn thành (Đạt chuẩn)</t>
        </is>
      </c>
      <c r="I8" s="47" t="inlineStr">
        <is>
          <t>Đã hoàn thành (Đạt chuẩn)</t>
        </is>
      </c>
      <c r="J8" s="47" t="inlineStr">
        <is>
          <t>Đã hoàn thành (Đạt chuẩn)</t>
        </is>
      </c>
      <c r="K8" s="44">
        <f>IF(COUNTA(H8:J8)=0, "", IF(COUNTIF(H8:J8, "Đã hoàn thành (Đạt chuẩn)")=3, "ĐỦ 3 TRỤC (100%)", IF(COUNTIF(H8:J8, "Chưa triển khai")=3, "CHƯA GẮN (0%)", "THIẾU / CHƯA ĐẠT (" &amp; COUNTIF(H8:J8, "Đã hoàn thành (Đạt chuẩn)") &amp; "/3)")))</f>
        <v/>
      </c>
      <c r="L8" s="47" t="inlineStr">
        <is>
          <t>Đã có (Đạt chuẩn)</t>
        </is>
      </c>
      <c r="M8" s="47" t="inlineStr">
        <is>
          <t>Đã có (Đạt chuẩn)</t>
        </is>
      </c>
      <c r="N8" s="47" t="inlineStr">
        <is>
          <t>Đã có (Đạt chuẩn)</t>
        </is>
      </c>
      <c r="O8" s="44">
        <f>IF(COUNTA(L8:N8)=0, "", IF(COUNTIF(L8:N8, "Đã có (Đạt chuẩn)")=3, "ĐỦ 3 LEVEL DASHBOARD", IF(COUNTIF(L8:N8, "Chưa có")=3, "CHƯA CÓ DASHBOARD", "THIẾU DASHBOARD (" &amp; COUNTIF(L8:N8, "Đã có (Đạt chuẩn)") &amp; "/3)")))</f>
        <v/>
      </c>
      <c r="P8" s="47" t="inlineStr">
        <is>
          <t>Qua OTel Collector (Đúng chuẩn)</t>
        </is>
      </c>
      <c r="Q8" s="47" t="inlineStr">
        <is>
          <t>N/A (Ngoài .NET 6/7/8)</t>
        </is>
      </c>
      <c r="R8" s="44">
        <f>IF(C8="", "", IF(P8="Đẩy thẳng Kafka / ES (Vi phạm BLOCKER)", "VI PHẠM (BLOCKER)", IF(AND(K8="ĐỦ 3 TRỤC (100%)", O8="ĐỦ 3 LEVEL DASHBOARD", P8="Qua OTel Collector (Đúng chuẩn)"), "ĐẠT CHUẨN QG2 (PASS)", IF(AND(K8="CHƯA GẮN (0%)", O8="CHƯA CÓ DASHBOARD"), "CHƯA TRIỂN KHAI", "ĐANG HOÀN THIỆN (PENDING)"))))</f>
        <v/>
      </c>
      <c r="S8" s="45" t="inlineStr">
        <is>
          <t>https://kibana.isc.internal/app/dashboards#/view/notification-svc</t>
        </is>
      </c>
      <c r="T8" s="45" t="inlineStr">
        <is>
          <t>Lê Văn C</t>
        </is>
      </c>
      <c r="U8" s="47" t="inlineStr">
        <is>
          <t>2026-09-28</t>
        </is>
      </c>
      <c r="V8" s="45" t="inlineStr">
        <is>
          <t>Mẫu: Service Node.js cấu hình qua biến môi trường chuẩn OTLP</t>
        </is>
      </c>
    </row>
    <row r="9" ht="24" customHeight="1">
      <c r="A9" s="44">
        <f>IF(COUNTA(B9:C9)=0, "", COUNTA($C$6:C9))</f>
        <v/>
      </c>
      <c r="B9" s="24" t="inlineStr">
        <is>
          <t>Hệ thống Đối soát Cũ (Legacy Billing)</t>
        </is>
      </c>
      <c r="C9" s="48" t="inlineStr">
        <is>
          <t>billing-worker-svc</t>
        </is>
      </c>
      <c r="D9" s="25" t="inlineStr">
        <is>
          <t>Development / SIT</t>
        </is>
      </c>
      <c r="E9" s="25" t="inlineStr">
        <is>
          <t>.NET 6 / .NET 7 (SDK v1.5+ hỗ trợ chính thức)</t>
        </is>
      </c>
      <c r="F9" s="44">
        <f>IF(E9="", "", IF(OR(E9=".NET 8 (SDK v1.5+ hỗ trợ chính thức)", E9=".NET 6 / .NET 7 (SDK v1.5+ hỗ trợ chính thức)"), "Hỗ trợ chuẩn SDK (.NET 6/7/8)", "Ngoài phạm vi SDK (Dùng OTel Native)"))</f>
        <v/>
      </c>
      <c r="G9" s="25" t="inlineStr">
        <is>
          <t>Đang tích hợp</t>
        </is>
      </c>
      <c r="H9" s="25" t="inlineStr">
        <is>
          <t>Đã gắn (Chưa đạt chuẩn)</t>
        </is>
      </c>
      <c r="I9" s="25" t="inlineStr">
        <is>
          <t>Chưa triển khai</t>
        </is>
      </c>
      <c r="J9" s="25" t="inlineStr">
        <is>
          <t>Chưa triển khai</t>
        </is>
      </c>
      <c r="K9" s="44">
        <f>IF(COUNTA(H9:J9)=0, "", IF(COUNTIF(H9:J9, "Đã hoàn thành (Đạt chuẩn)")=3, "ĐỦ 3 TRỤC (100%)", IF(COUNTIF(H9:J9, "Chưa triển khai")=3, "CHƯA GẮN (0%)", "THIẾU / CHƯA ĐẠT (" &amp; COUNTIF(H9:J9, "Đã hoàn thành (Đạt chuẩn)") &amp; "/3)")))</f>
        <v/>
      </c>
      <c r="L9" s="25" t="inlineStr">
        <is>
          <t>Chưa có</t>
        </is>
      </c>
      <c r="M9" s="25" t="inlineStr">
        <is>
          <t>Chưa có</t>
        </is>
      </c>
      <c r="N9" s="25" t="inlineStr">
        <is>
          <t>Chưa có</t>
        </is>
      </c>
      <c r="O9" s="44">
        <f>IF(COUNTA(L9:N9)=0, "", IF(COUNTIF(L9:N9, "Đã có (Đạt chuẩn)")=3, "ĐỦ 3 LEVEL DASHBOARD", IF(COUNTIF(L9:N9, "Chưa có")=3, "CHƯA CÓ DASHBOARD", "THIẾU DASHBOARD (" &amp; COUNTIF(L9:N9, "Đã có (Đạt chuẩn)") &amp; "/3)")))</f>
        <v/>
      </c>
      <c r="P9" s="25" t="inlineStr">
        <is>
          <t>Đẩy thẳng Kafka / ES (Vi phạm BLOCKER)</t>
        </is>
      </c>
      <c r="Q9" s="25" t="inlineStr">
        <is>
          <t>Chưa ghi nhận (= 0)</t>
        </is>
      </c>
      <c r="R9" s="44">
        <f>IF(C9="", "", IF(P9="Đẩy thẳng Kafka / ES (Vi phạm BLOCKER)", "VI PHẠM (BLOCKER)", IF(AND(K9="ĐỦ 3 TRỤC (100%)", O9="ĐỦ 3 LEVEL DASHBOARD", P9="Qua OTel Collector (Đúng chuẩn)"), "ĐẠT CHUẨN QG2 (PASS)", IF(AND(K9="CHƯA GẮN (0%)", O9="CHƯA CÓ DASHBOARD"), "CHƯA TRIỂN KHAI", "ĐANG HOÀN THIỆN (PENDING)"))))</f>
        <v/>
      </c>
      <c r="S9" s="24" t="inlineStr"/>
      <c r="T9" s="24" t="inlineStr">
        <is>
          <t>Phạm Văn D</t>
        </is>
      </c>
      <c r="U9" s="25" t="inlineStr">
        <is>
          <t>2026-10-20</t>
        </is>
      </c>
      <c r="V9" s="24" t="inlineStr">
        <is>
          <t>Mẫu: Đang vi phạm đẩy log thẳng vào Kafka, cần cài gói SDK v1.5.0 (.NET 6/7/8)</t>
        </is>
      </c>
    </row>
    <row r="10" ht="24" customHeight="1">
      <c r="A10" s="44">
        <f>IF(COUNTA(B10:C10)=0, "", COUNTA($C$6:C10))</f>
        <v/>
      </c>
      <c r="B10" s="45" t="inlineStr">
        <is>
          <t>Hệ thống Gợi ý AI (Recommendation)</t>
        </is>
      </c>
      <c r="C10" s="46" t="inlineStr">
        <is>
          <t>ai-recommend-svc</t>
        </is>
      </c>
      <c r="D10" s="47" t="inlineStr">
        <is>
          <t>Chưa triển khai</t>
        </is>
      </c>
      <c r="E10" s="47" t="inlineStr">
        <is>
          <t>Python (FastAPI / Django)</t>
        </is>
      </c>
      <c r="F10" s="44">
        <f>IF(E10="", "", IF(OR(E10=".NET 8 (SDK v1.5+ hỗ trợ chính thức)", E10=".NET 6 / .NET 7 (SDK v1.5+ hỗ trợ chính thức)"), "Hỗ trợ chuẩn SDK (.NET 6/7/8)", "Ngoài phạm vi SDK (Dùng OTel Native)"))</f>
        <v/>
      </c>
      <c r="G10" s="47" t="inlineStr">
        <is>
          <t>Chưa tích hợp</t>
        </is>
      </c>
      <c r="H10" s="47" t="inlineStr">
        <is>
          <t>Chưa triển khai</t>
        </is>
      </c>
      <c r="I10" s="47" t="inlineStr">
        <is>
          <t>Chưa triển khai</t>
        </is>
      </c>
      <c r="J10" s="47" t="inlineStr">
        <is>
          <t>Chưa triển khai</t>
        </is>
      </c>
      <c r="K10" s="44">
        <f>IF(COUNTA(H10:J10)=0, "", IF(COUNTIF(H10:J10, "Đã hoàn thành (Đạt chuẩn)")=3, "ĐỦ 3 TRỤC (100%)", IF(COUNTIF(H10:J10, "Chưa triển khai")=3, "CHƯA GẮN (0%)", "THIẾU / CHƯA ĐẠT (" &amp; COUNTIF(H10:J10, "Đã hoàn thành (Đạt chuẩn)") &amp; "/3)")))</f>
        <v/>
      </c>
      <c r="L10" s="47" t="inlineStr">
        <is>
          <t>Chưa có</t>
        </is>
      </c>
      <c r="M10" s="47" t="inlineStr">
        <is>
          <t>Chưa có</t>
        </is>
      </c>
      <c r="N10" s="47" t="inlineStr">
        <is>
          <t>Chưa có</t>
        </is>
      </c>
      <c r="O10" s="44">
        <f>IF(COUNTA(L10:N10)=0, "", IF(COUNTIF(L10:N10, "Đã có (Đạt chuẩn)")=3, "ĐỦ 3 LEVEL DASHBOARD", IF(COUNTIF(L10:N10, "Chưa có")=3, "CHƯA CÓ DASHBOARD", "THIẾU DASHBOARD (" &amp; COUNTIF(L10:N10, "Đã có (Đạt chuẩn)") &amp; "/3)")))</f>
        <v/>
      </c>
      <c r="P10" s="47" t="inlineStr">
        <is>
          <t>Chưa cấu hình</t>
        </is>
      </c>
      <c r="Q10" s="47" t="inlineStr">
        <is>
          <t>N/A (Ngoài .NET 6/7/8)</t>
        </is>
      </c>
      <c r="R10" s="44">
        <f>IF(C10="", "", IF(P10="Đẩy thẳng Kafka / ES (Vi phạm BLOCKER)", "VI PHẠM (BLOCKER)", IF(AND(K10="ĐỦ 3 TRỤC (100%)", O10="ĐỦ 3 LEVEL DASHBOARD", P10="Qua OTel Collector (Đúng chuẩn)"), "ĐẠT CHUẨN QG2 (PASS)", IF(AND(K10="CHƯA GẮN (0%)", O10="CHƯA CÓ DASHBOARD"), "CHƯA TRIỂN KHAI", "ĐANG HOÀN THIỆN (PENDING)"))))</f>
        <v/>
      </c>
      <c r="S10" s="45" t="inlineStr"/>
      <c r="T10" s="45" t="inlineStr">
        <is>
          <t>Hoàng Văn E</t>
        </is>
      </c>
      <c r="U10" s="47" t="inlineStr">
        <is>
          <t>2026-11-01</t>
        </is>
      </c>
      <c r="V10" s="45" t="inlineStr">
        <is>
          <t>Mẫu: Dự án mới khởi tạo, chưa tích hợp</t>
        </is>
      </c>
    </row>
    <row r="11" ht="24" customHeight="1">
      <c r="A11" s="44">
        <f>IF(COUNTA(B11:C11)=0, "", COUNTA($C$6:C11))</f>
        <v/>
      </c>
      <c r="B11" s="24" t="n"/>
      <c r="C11" s="48" t="n"/>
      <c r="D11" s="25" t="n"/>
      <c r="E11" s="25" t="n"/>
      <c r="F11" s="44">
        <f>IF(E11="", "", IF(OR(E11=".NET 8 (SDK v1.5+ hỗ trợ chính thức)", E11=".NET 6 / .NET 7 (SDK v1.5+ hỗ trợ chính thức)"), "Hỗ trợ chuẩn SDK (.NET 6/7/8)", "Ngoài phạm vi SDK (Dùng OTel Native)"))</f>
        <v/>
      </c>
      <c r="G11" s="25" t="n"/>
      <c r="H11" s="25" t="n"/>
      <c r="I11" s="25" t="n"/>
      <c r="J11" s="25" t="n"/>
      <c r="K11" s="44">
        <f>IF(COUNTA(H11:J11)=0, "", IF(COUNTIF(H11:J11, "Đã hoàn thành (Đạt chuẩn)")=3, "ĐỦ 3 TRỤC (100%)", IF(COUNTIF(H11:J11, "Chưa triển khai")=3, "CHƯA GẮN (0%)", "THIẾU / CHƯA ĐẠT (" &amp; COUNTIF(H11:J11, "Đã hoàn thành (Đạt chuẩn)") &amp; "/3)")))</f>
        <v/>
      </c>
      <c r="L11" s="25" t="n"/>
      <c r="M11" s="25" t="n"/>
      <c r="N11" s="25" t="n"/>
      <c r="O11" s="44">
        <f>IF(COUNTA(L11:N11)=0, "", IF(COUNTIF(L11:N11, "Đã có (Đạt chuẩn)")=3, "ĐỦ 3 LEVEL DASHBOARD", IF(COUNTIF(L11:N11, "Chưa có")=3, "CHƯA CÓ DASHBOARD", "THIẾU DASHBOARD (" &amp; COUNTIF(L11:N11, "Đã có (Đạt chuẩn)") &amp; "/3)")))</f>
        <v/>
      </c>
      <c r="P11" s="25" t="n"/>
      <c r="Q11" s="25" t="n"/>
      <c r="R11" s="44">
        <f>IF(C11="", "", IF(P11="Đẩy thẳng Kafka / ES (Vi phạm BLOCKER)", "VI PHẠM (BLOCKER)", IF(AND(K11="ĐỦ 3 TRỤC (100%)", O11="ĐỦ 3 LEVEL DASHBOARD", P11="Qua OTel Collector (Đúng chuẩn)"), "ĐẠT CHUẨN QG2 (PASS)", IF(AND(K11="CHƯA GẮN (0%)", O11="CHƯA CÓ DASHBOARD"), "CHƯA TRIỂN KHAI", "ĐANG HOÀN THIỆN (PENDING)"))))</f>
        <v/>
      </c>
      <c r="S11" s="24" t="n"/>
      <c r="T11" s="24" t="n"/>
      <c r="U11" s="25" t="n"/>
      <c r="V11" s="24" t="n"/>
    </row>
    <row r="12" ht="24" customHeight="1">
      <c r="A12" s="44">
        <f>IF(COUNTA(B12:C12)=0, "", COUNTA($C$6:C12))</f>
        <v/>
      </c>
      <c r="B12" s="45" t="n"/>
      <c r="C12" s="46" t="n"/>
      <c r="D12" s="47" t="n"/>
      <c r="E12" s="47" t="n"/>
      <c r="F12" s="44">
        <f>IF(E12="", "", IF(OR(E12=".NET 8 (SDK v1.5+ hỗ trợ chính thức)", E12=".NET 6 / .NET 7 (SDK v1.5+ hỗ trợ chính thức)"), "Hỗ trợ chuẩn SDK (.NET 6/7/8)", "Ngoài phạm vi SDK (Dùng OTel Native)"))</f>
        <v/>
      </c>
      <c r="G12" s="47" t="n"/>
      <c r="H12" s="47" t="n"/>
      <c r="I12" s="47" t="n"/>
      <c r="J12" s="47" t="n"/>
      <c r="K12" s="44">
        <f>IF(COUNTA(H12:J12)=0, "", IF(COUNTIF(H12:J12, "Đã hoàn thành (Đạt chuẩn)")=3, "ĐỦ 3 TRỤC (100%)", IF(COUNTIF(H12:J12, "Chưa triển khai")=3, "CHƯA GẮN (0%)", "THIẾU / CHƯA ĐẠT (" &amp; COUNTIF(H12:J12, "Đã hoàn thành (Đạt chuẩn)") &amp; "/3)")))</f>
        <v/>
      </c>
      <c r="L12" s="47" t="n"/>
      <c r="M12" s="47" t="n"/>
      <c r="N12" s="47" t="n"/>
      <c r="O12" s="44">
        <f>IF(COUNTA(L12:N12)=0, "", IF(COUNTIF(L12:N12, "Đã có (Đạt chuẩn)")=3, "ĐỦ 3 LEVEL DASHBOARD", IF(COUNTIF(L12:N12, "Chưa có")=3, "CHƯA CÓ DASHBOARD", "THIẾU DASHBOARD (" &amp; COUNTIF(L12:N12, "Đã có (Đạt chuẩn)") &amp; "/3)")))</f>
        <v/>
      </c>
      <c r="P12" s="47" t="n"/>
      <c r="Q12" s="47" t="n"/>
      <c r="R12" s="44">
        <f>IF(C12="", "", IF(P12="Đẩy thẳng Kafka / ES (Vi phạm BLOCKER)", "VI PHẠM (BLOCKER)", IF(AND(K12="ĐỦ 3 TRỤC (100%)", O12="ĐỦ 3 LEVEL DASHBOARD", P12="Qua OTel Collector (Đúng chuẩn)"), "ĐẠT CHUẨN QG2 (PASS)", IF(AND(K12="CHƯA GẮN (0%)", O12="CHƯA CÓ DASHBOARD"), "CHƯA TRIỂN KHAI", "ĐANG HOÀN THIỆN (PENDING)"))))</f>
        <v/>
      </c>
      <c r="S12" s="45" t="n"/>
      <c r="T12" s="45" t="n"/>
      <c r="U12" s="47" t="n"/>
      <c r="V12" s="45" t="n"/>
    </row>
    <row r="13" ht="24" customHeight="1">
      <c r="A13" s="44">
        <f>IF(COUNTA(B13:C13)=0, "", COUNTA($C$6:C13))</f>
        <v/>
      </c>
      <c r="B13" s="24" t="n"/>
      <c r="C13" s="48" t="n"/>
      <c r="D13" s="25" t="n"/>
      <c r="E13" s="25" t="n"/>
      <c r="F13" s="44">
        <f>IF(E13="", "", IF(OR(E13=".NET 8 (SDK v1.5+ hỗ trợ chính thức)", E13=".NET 6 / .NET 7 (SDK v1.5+ hỗ trợ chính thức)"), "Hỗ trợ chuẩn SDK (.NET 6/7/8)", "Ngoài phạm vi SDK (Dùng OTel Native)"))</f>
        <v/>
      </c>
      <c r="G13" s="25" t="n"/>
      <c r="H13" s="25" t="n"/>
      <c r="I13" s="25" t="n"/>
      <c r="J13" s="25" t="n"/>
      <c r="K13" s="44">
        <f>IF(COUNTA(H13:J13)=0, "", IF(COUNTIF(H13:J13, "Đã hoàn thành (Đạt chuẩn)")=3, "ĐỦ 3 TRỤC (100%)", IF(COUNTIF(H13:J13, "Chưa triển khai")=3, "CHƯA GẮN (0%)", "THIẾU / CHƯA ĐẠT (" &amp; COUNTIF(H13:J13, "Đã hoàn thành (Đạt chuẩn)") &amp; "/3)")))</f>
        <v/>
      </c>
      <c r="L13" s="25" t="n"/>
      <c r="M13" s="25" t="n"/>
      <c r="N13" s="25" t="n"/>
      <c r="O13" s="44">
        <f>IF(COUNTA(L13:N13)=0, "", IF(COUNTIF(L13:N13, "Đã có (Đạt chuẩn)")=3, "ĐỦ 3 LEVEL DASHBOARD", IF(COUNTIF(L13:N13, "Chưa có")=3, "CHƯA CÓ DASHBOARD", "THIẾU DASHBOARD (" &amp; COUNTIF(L13:N13, "Đã có (Đạt chuẩn)") &amp; "/3)")))</f>
        <v/>
      </c>
      <c r="P13" s="25" t="n"/>
      <c r="Q13" s="25" t="n"/>
      <c r="R13" s="44">
        <f>IF(C13="", "", IF(P13="Đẩy thẳng Kafka / ES (Vi phạm BLOCKER)", "VI PHẠM (BLOCKER)", IF(AND(K13="ĐỦ 3 TRỤC (100%)", O13="ĐỦ 3 LEVEL DASHBOARD", P13="Qua OTel Collector (Đúng chuẩn)"), "ĐẠT CHUẨN QG2 (PASS)", IF(AND(K13="CHƯA GẮN (0%)", O13="CHƯA CÓ DASHBOARD"), "CHƯA TRIỂN KHAI", "ĐANG HOÀN THIỆN (PENDING)"))))</f>
        <v/>
      </c>
      <c r="S13" s="24" t="n"/>
      <c r="T13" s="24" t="n"/>
      <c r="U13" s="25" t="n"/>
      <c r="V13" s="24" t="n"/>
    </row>
    <row r="14" ht="24" customHeight="1">
      <c r="A14" s="44">
        <f>IF(COUNTA(B14:C14)=0, "", COUNTA($C$6:C14))</f>
        <v/>
      </c>
      <c r="B14" s="45" t="n"/>
      <c r="C14" s="46" t="n"/>
      <c r="D14" s="47" t="n"/>
      <c r="E14" s="47" t="n"/>
      <c r="F14" s="44">
        <f>IF(E14="", "", IF(OR(E14=".NET 8 (SDK v1.5+ hỗ trợ chính thức)", E14=".NET 6 / .NET 7 (SDK v1.5+ hỗ trợ chính thức)"), "Hỗ trợ chuẩn SDK (.NET 6/7/8)", "Ngoài phạm vi SDK (Dùng OTel Native)"))</f>
        <v/>
      </c>
      <c r="G14" s="47" t="n"/>
      <c r="H14" s="47" t="n"/>
      <c r="I14" s="47" t="n"/>
      <c r="J14" s="47" t="n"/>
      <c r="K14" s="44">
        <f>IF(COUNTA(H14:J14)=0, "", IF(COUNTIF(H14:J14, "Đã hoàn thành (Đạt chuẩn)")=3, "ĐỦ 3 TRỤC (100%)", IF(COUNTIF(H14:J14, "Chưa triển khai")=3, "CHƯA GẮN (0%)", "THIẾU / CHƯA ĐẠT (" &amp; COUNTIF(H14:J14, "Đã hoàn thành (Đạt chuẩn)") &amp; "/3)")))</f>
        <v/>
      </c>
      <c r="L14" s="47" t="n"/>
      <c r="M14" s="47" t="n"/>
      <c r="N14" s="47" t="n"/>
      <c r="O14" s="44">
        <f>IF(COUNTA(L14:N14)=0, "", IF(COUNTIF(L14:N14, "Đã có (Đạt chuẩn)")=3, "ĐỦ 3 LEVEL DASHBOARD", IF(COUNTIF(L14:N14, "Chưa có")=3, "CHƯA CÓ DASHBOARD", "THIẾU DASHBOARD (" &amp; COUNTIF(L14:N14, "Đã có (Đạt chuẩn)") &amp; "/3)")))</f>
        <v/>
      </c>
      <c r="P14" s="47" t="n"/>
      <c r="Q14" s="47" t="n"/>
      <c r="R14" s="44">
        <f>IF(C14="", "", IF(P14="Đẩy thẳng Kafka / ES (Vi phạm BLOCKER)", "VI PHẠM (BLOCKER)", IF(AND(K14="ĐỦ 3 TRỤC (100%)", O14="ĐỦ 3 LEVEL DASHBOARD", P14="Qua OTel Collector (Đúng chuẩn)"), "ĐẠT CHUẨN QG2 (PASS)", IF(AND(K14="CHƯA GẮN (0%)", O14="CHƯA CÓ DASHBOARD"), "CHƯA TRIỂN KHAI", "ĐANG HOÀN THIỆN (PENDING)"))))</f>
        <v/>
      </c>
      <c r="S14" s="45" t="n"/>
      <c r="T14" s="45" t="n"/>
      <c r="U14" s="47" t="n"/>
      <c r="V14" s="45" t="n"/>
    </row>
    <row r="15" ht="24" customHeight="1">
      <c r="A15" s="44">
        <f>IF(COUNTA(B15:C15)=0, "", COUNTA($C$6:C15))</f>
        <v/>
      </c>
      <c r="B15" s="24" t="n"/>
      <c r="C15" s="48" t="n"/>
      <c r="D15" s="25" t="n"/>
      <c r="E15" s="25" t="n"/>
      <c r="F15" s="44">
        <f>IF(E15="", "", IF(OR(E15=".NET 8 (SDK v1.5+ hỗ trợ chính thức)", E15=".NET 6 / .NET 7 (SDK v1.5+ hỗ trợ chính thức)"), "Hỗ trợ chuẩn SDK (.NET 6/7/8)", "Ngoài phạm vi SDK (Dùng OTel Native)"))</f>
        <v/>
      </c>
      <c r="G15" s="25" t="n"/>
      <c r="H15" s="25" t="n"/>
      <c r="I15" s="25" t="n"/>
      <c r="J15" s="25" t="n"/>
      <c r="K15" s="44">
        <f>IF(COUNTA(H15:J15)=0, "", IF(COUNTIF(H15:J15, "Đã hoàn thành (Đạt chuẩn)")=3, "ĐỦ 3 TRỤC (100%)", IF(COUNTIF(H15:J15, "Chưa triển khai")=3, "CHƯA GẮN (0%)", "THIẾU / CHƯA ĐẠT (" &amp; COUNTIF(H15:J15, "Đã hoàn thành (Đạt chuẩn)") &amp; "/3)")))</f>
        <v/>
      </c>
      <c r="L15" s="25" t="n"/>
      <c r="M15" s="25" t="n"/>
      <c r="N15" s="25" t="n"/>
      <c r="O15" s="44">
        <f>IF(COUNTA(L15:N15)=0, "", IF(COUNTIF(L15:N15, "Đã có (Đạt chuẩn)")=3, "ĐỦ 3 LEVEL DASHBOARD", IF(COUNTIF(L15:N15, "Chưa có")=3, "CHƯA CÓ DASHBOARD", "THIẾU DASHBOARD (" &amp; COUNTIF(L15:N15, "Đã có (Đạt chuẩn)") &amp; "/3)")))</f>
        <v/>
      </c>
      <c r="P15" s="25" t="n"/>
      <c r="Q15" s="25" t="n"/>
      <c r="R15" s="44">
        <f>IF(C15="", "", IF(P15="Đẩy thẳng Kafka / ES (Vi phạm BLOCKER)", "VI PHẠM (BLOCKER)", IF(AND(K15="ĐỦ 3 TRỤC (100%)", O15="ĐỦ 3 LEVEL DASHBOARD", P15="Qua OTel Collector (Đúng chuẩn)"), "ĐẠT CHUẨN QG2 (PASS)", IF(AND(K15="CHƯA GẮN (0%)", O15="CHƯA CÓ DASHBOARD"), "CHƯA TRIỂN KHAI", "ĐANG HOÀN THIỆN (PENDING)"))))</f>
        <v/>
      </c>
      <c r="S15" s="24" t="n"/>
      <c r="T15" s="24" t="n"/>
      <c r="U15" s="25" t="n"/>
      <c r="V15" s="24" t="n"/>
    </row>
    <row r="16" ht="24" customHeight="1">
      <c r="A16" s="44">
        <f>IF(COUNTA(B16:C16)=0, "", COUNTA($C$6:C16))</f>
        <v/>
      </c>
      <c r="B16" s="45" t="n"/>
      <c r="C16" s="46" t="n"/>
      <c r="D16" s="47" t="n"/>
      <c r="E16" s="47" t="n"/>
      <c r="F16" s="44">
        <f>IF(E16="", "", IF(OR(E16=".NET 8 (SDK v1.5+ hỗ trợ chính thức)", E16=".NET 6 / .NET 7 (SDK v1.5+ hỗ trợ chính thức)"), "Hỗ trợ chuẩn SDK (.NET 6/7/8)", "Ngoài phạm vi SDK (Dùng OTel Native)"))</f>
        <v/>
      </c>
      <c r="G16" s="47" t="n"/>
      <c r="H16" s="47" t="n"/>
      <c r="I16" s="47" t="n"/>
      <c r="J16" s="47" t="n"/>
      <c r="K16" s="44">
        <f>IF(COUNTA(H16:J16)=0, "", IF(COUNTIF(H16:J16, "Đã hoàn thành (Đạt chuẩn)")=3, "ĐỦ 3 TRỤC (100%)", IF(COUNTIF(H16:J16, "Chưa triển khai")=3, "CHƯA GẮN (0%)", "THIẾU / CHƯA ĐẠT (" &amp; COUNTIF(H16:J16, "Đã hoàn thành (Đạt chuẩn)") &amp; "/3)")))</f>
        <v/>
      </c>
      <c r="L16" s="47" t="n"/>
      <c r="M16" s="47" t="n"/>
      <c r="N16" s="47" t="n"/>
      <c r="O16" s="44">
        <f>IF(COUNTA(L16:N16)=0, "", IF(COUNTIF(L16:N16, "Đã có (Đạt chuẩn)")=3, "ĐỦ 3 LEVEL DASHBOARD", IF(COUNTIF(L16:N16, "Chưa có")=3, "CHƯA CÓ DASHBOARD", "THIẾU DASHBOARD (" &amp; COUNTIF(L16:N16, "Đã có (Đạt chuẩn)") &amp; "/3)")))</f>
        <v/>
      </c>
      <c r="P16" s="47" t="n"/>
      <c r="Q16" s="47" t="n"/>
      <c r="R16" s="44">
        <f>IF(C16="", "", IF(P16="Đẩy thẳng Kafka / ES (Vi phạm BLOCKER)", "VI PHẠM (BLOCKER)", IF(AND(K16="ĐỦ 3 TRỤC (100%)", O16="ĐỦ 3 LEVEL DASHBOARD", P16="Qua OTel Collector (Đúng chuẩn)"), "ĐẠT CHUẨN QG2 (PASS)", IF(AND(K16="CHƯA GẮN (0%)", O16="CHƯA CÓ DASHBOARD"), "CHƯA TRIỂN KHAI", "ĐANG HOÀN THIỆN (PENDING)"))))</f>
        <v/>
      </c>
      <c r="S16" s="45" t="n"/>
      <c r="T16" s="45" t="n"/>
      <c r="U16" s="47" t="n"/>
      <c r="V16" s="45" t="n"/>
    </row>
    <row r="17" ht="24" customHeight="1">
      <c r="A17" s="44">
        <f>IF(COUNTA(B17:C17)=0, "", COUNTA($C$6:C17))</f>
        <v/>
      </c>
      <c r="B17" s="24" t="n"/>
      <c r="C17" s="48" t="n"/>
      <c r="D17" s="25" t="n"/>
      <c r="E17" s="25" t="n"/>
      <c r="F17" s="44">
        <f>IF(E17="", "", IF(OR(E17=".NET 8 (SDK v1.5+ hỗ trợ chính thức)", E17=".NET 6 / .NET 7 (SDK v1.5+ hỗ trợ chính thức)"), "Hỗ trợ chuẩn SDK (.NET 6/7/8)", "Ngoài phạm vi SDK (Dùng OTel Native)"))</f>
        <v/>
      </c>
      <c r="G17" s="25" t="n"/>
      <c r="H17" s="25" t="n"/>
      <c r="I17" s="25" t="n"/>
      <c r="J17" s="25" t="n"/>
      <c r="K17" s="44">
        <f>IF(COUNTA(H17:J17)=0, "", IF(COUNTIF(H17:J17, "Đã hoàn thành (Đạt chuẩn)")=3, "ĐỦ 3 TRỤC (100%)", IF(COUNTIF(H17:J17, "Chưa triển khai")=3, "CHƯA GẮN (0%)", "THIẾU / CHƯA ĐẠT (" &amp; COUNTIF(H17:J17, "Đã hoàn thành (Đạt chuẩn)") &amp; "/3)")))</f>
        <v/>
      </c>
      <c r="L17" s="25" t="n"/>
      <c r="M17" s="25" t="n"/>
      <c r="N17" s="25" t="n"/>
      <c r="O17" s="44">
        <f>IF(COUNTA(L17:N17)=0, "", IF(COUNTIF(L17:N17, "Đã có (Đạt chuẩn)")=3, "ĐỦ 3 LEVEL DASHBOARD", IF(COUNTIF(L17:N17, "Chưa có")=3, "CHƯA CÓ DASHBOARD", "THIẾU DASHBOARD (" &amp; COUNTIF(L17:N17, "Đã có (Đạt chuẩn)") &amp; "/3)")))</f>
        <v/>
      </c>
      <c r="P17" s="25" t="n"/>
      <c r="Q17" s="25" t="n"/>
      <c r="R17" s="44">
        <f>IF(C17="", "", IF(P17="Đẩy thẳng Kafka / ES (Vi phạm BLOCKER)", "VI PHẠM (BLOCKER)", IF(AND(K17="ĐỦ 3 TRỤC (100%)", O17="ĐỦ 3 LEVEL DASHBOARD", P17="Qua OTel Collector (Đúng chuẩn)"), "ĐẠT CHUẨN QG2 (PASS)", IF(AND(K17="CHƯA GẮN (0%)", O17="CHƯA CÓ DASHBOARD"), "CHƯA TRIỂN KHAI", "ĐANG HOÀN THIỆN (PENDING)"))))</f>
        <v/>
      </c>
      <c r="S17" s="24" t="n"/>
      <c r="T17" s="24" t="n"/>
      <c r="U17" s="25" t="n"/>
      <c r="V17" s="24" t="n"/>
    </row>
    <row r="18" ht="24" customHeight="1">
      <c r="A18" s="44">
        <f>IF(COUNTA(B18:C18)=0, "", COUNTA($C$6:C18))</f>
        <v/>
      </c>
      <c r="B18" s="45" t="n"/>
      <c r="C18" s="46" t="n"/>
      <c r="D18" s="47" t="n"/>
      <c r="E18" s="47" t="n"/>
      <c r="F18" s="44">
        <f>IF(E18="", "", IF(OR(E18=".NET 8 (SDK v1.5+ hỗ trợ chính thức)", E18=".NET 6 / .NET 7 (SDK v1.5+ hỗ trợ chính thức)"), "Hỗ trợ chuẩn SDK (.NET 6/7/8)", "Ngoài phạm vi SDK (Dùng OTel Native)"))</f>
        <v/>
      </c>
      <c r="G18" s="47" t="n"/>
      <c r="H18" s="47" t="n"/>
      <c r="I18" s="47" t="n"/>
      <c r="J18" s="47" t="n"/>
      <c r="K18" s="44">
        <f>IF(COUNTA(H18:J18)=0, "", IF(COUNTIF(H18:J18, "Đã hoàn thành (Đạt chuẩn)")=3, "ĐỦ 3 TRỤC (100%)", IF(COUNTIF(H18:J18, "Chưa triển khai")=3, "CHƯA GẮN (0%)", "THIẾU / CHƯA ĐẠT (" &amp; COUNTIF(H18:J18, "Đã hoàn thành (Đạt chuẩn)") &amp; "/3)")))</f>
        <v/>
      </c>
      <c r="L18" s="47" t="n"/>
      <c r="M18" s="47" t="n"/>
      <c r="N18" s="47" t="n"/>
      <c r="O18" s="44">
        <f>IF(COUNTA(L18:N18)=0, "", IF(COUNTIF(L18:N18, "Đã có (Đạt chuẩn)")=3, "ĐỦ 3 LEVEL DASHBOARD", IF(COUNTIF(L18:N18, "Chưa có")=3, "CHƯA CÓ DASHBOARD", "THIẾU DASHBOARD (" &amp; COUNTIF(L18:N18, "Đã có (Đạt chuẩn)") &amp; "/3)")))</f>
        <v/>
      </c>
      <c r="P18" s="47" t="n"/>
      <c r="Q18" s="47" t="n"/>
      <c r="R18" s="44">
        <f>IF(C18="", "", IF(P18="Đẩy thẳng Kafka / ES (Vi phạm BLOCKER)", "VI PHẠM (BLOCKER)", IF(AND(K18="ĐỦ 3 TRỤC (100%)", O18="ĐỦ 3 LEVEL DASHBOARD", P18="Qua OTel Collector (Đúng chuẩn)"), "ĐẠT CHUẨN QG2 (PASS)", IF(AND(K18="CHƯA GẮN (0%)", O18="CHƯA CÓ DASHBOARD"), "CHƯA TRIỂN KHAI", "ĐANG HOÀN THIỆN (PENDING)"))))</f>
        <v/>
      </c>
      <c r="S18" s="45" t="n"/>
      <c r="T18" s="45" t="n"/>
      <c r="U18" s="47" t="n"/>
      <c r="V18" s="45" t="n"/>
    </row>
    <row r="19" ht="24" customHeight="1">
      <c r="A19" s="44">
        <f>IF(COUNTA(B19:C19)=0, "", COUNTA($C$6:C19))</f>
        <v/>
      </c>
      <c r="B19" s="24" t="n"/>
      <c r="C19" s="48" t="n"/>
      <c r="D19" s="25" t="n"/>
      <c r="E19" s="25" t="n"/>
      <c r="F19" s="44">
        <f>IF(E19="", "", IF(OR(E19=".NET 8 (SDK v1.5+ hỗ trợ chính thức)", E19=".NET 6 / .NET 7 (SDK v1.5+ hỗ trợ chính thức)"), "Hỗ trợ chuẩn SDK (.NET 6/7/8)", "Ngoài phạm vi SDK (Dùng OTel Native)"))</f>
        <v/>
      </c>
      <c r="G19" s="25" t="n"/>
      <c r="H19" s="25" t="n"/>
      <c r="I19" s="25" t="n"/>
      <c r="J19" s="25" t="n"/>
      <c r="K19" s="44">
        <f>IF(COUNTA(H19:J19)=0, "", IF(COUNTIF(H19:J19, "Đã hoàn thành (Đạt chuẩn)")=3, "ĐỦ 3 TRỤC (100%)", IF(COUNTIF(H19:J19, "Chưa triển khai")=3, "CHƯA GẮN (0%)", "THIẾU / CHƯA ĐẠT (" &amp; COUNTIF(H19:J19, "Đã hoàn thành (Đạt chuẩn)") &amp; "/3)")))</f>
        <v/>
      </c>
      <c r="L19" s="25" t="n"/>
      <c r="M19" s="25" t="n"/>
      <c r="N19" s="25" t="n"/>
      <c r="O19" s="44">
        <f>IF(COUNTA(L19:N19)=0, "", IF(COUNTIF(L19:N19, "Đã có (Đạt chuẩn)")=3, "ĐỦ 3 LEVEL DASHBOARD", IF(COUNTIF(L19:N19, "Chưa có")=3, "CHƯA CÓ DASHBOARD", "THIẾU DASHBOARD (" &amp; COUNTIF(L19:N19, "Đã có (Đạt chuẩn)") &amp; "/3)")))</f>
        <v/>
      </c>
      <c r="P19" s="25" t="n"/>
      <c r="Q19" s="25" t="n"/>
      <c r="R19" s="44">
        <f>IF(C19="", "", IF(P19="Đẩy thẳng Kafka / ES (Vi phạm BLOCKER)", "VI PHẠM (BLOCKER)", IF(AND(K19="ĐỦ 3 TRỤC (100%)", O19="ĐỦ 3 LEVEL DASHBOARD", P19="Qua OTel Collector (Đúng chuẩn)"), "ĐẠT CHUẨN QG2 (PASS)", IF(AND(K19="CHƯA GẮN (0%)", O19="CHƯA CÓ DASHBOARD"), "CHƯA TRIỂN KHAI", "ĐANG HOÀN THIỆN (PENDING)"))))</f>
        <v/>
      </c>
      <c r="S19" s="24" t="n"/>
      <c r="T19" s="24" t="n"/>
      <c r="U19" s="25" t="n"/>
      <c r="V19" s="24" t="n"/>
    </row>
    <row r="20" ht="24" customHeight="1">
      <c r="A20" s="44">
        <f>IF(COUNTA(B20:C20)=0, "", COUNTA($C$6:C20))</f>
        <v/>
      </c>
      <c r="B20" s="45" t="n"/>
      <c r="C20" s="46" t="n"/>
      <c r="D20" s="47" t="n"/>
      <c r="E20" s="47" t="n"/>
      <c r="F20" s="44">
        <f>IF(E20="", "", IF(OR(E20=".NET 8 (SDK v1.5+ hỗ trợ chính thức)", E20=".NET 6 / .NET 7 (SDK v1.5+ hỗ trợ chính thức)"), "Hỗ trợ chuẩn SDK (.NET 6/7/8)", "Ngoài phạm vi SDK (Dùng OTel Native)"))</f>
        <v/>
      </c>
      <c r="G20" s="47" t="n"/>
      <c r="H20" s="47" t="n"/>
      <c r="I20" s="47" t="n"/>
      <c r="J20" s="47" t="n"/>
      <c r="K20" s="44">
        <f>IF(COUNTA(H20:J20)=0, "", IF(COUNTIF(H20:J20, "Đã hoàn thành (Đạt chuẩn)")=3, "ĐỦ 3 TRỤC (100%)", IF(COUNTIF(H20:J20, "Chưa triển khai")=3, "CHƯA GẮN (0%)", "THIẾU / CHƯA ĐẠT (" &amp; COUNTIF(H20:J20, "Đã hoàn thành (Đạt chuẩn)") &amp; "/3)")))</f>
        <v/>
      </c>
      <c r="L20" s="47" t="n"/>
      <c r="M20" s="47" t="n"/>
      <c r="N20" s="47" t="n"/>
      <c r="O20" s="44">
        <f>IF(COUNTA(L20:N20)=0, "", IF(COUNTIF(L20:N20, "Đã có (Đạt chuẩn)")=3, "ĐỦ 3 LEVEL DASHBOARD", IF(COUNTIF(L20:N20, "Chưa có")=3, "CHƯA CÓ DASHBOARD", "THIẾU DASHBOARD (" &amp; COUNTIF(L20:N20, "Đã có (Đạt chuẩn)") &amp; "/3)")))</f>
        <v/>
      </c>
      <c r="P20" s="47" t="n"/>
      <c r="Q20" s="47" t="n"/>
      <c r="R20" s="44">
        <f>IF(C20="", "", IF(P20="Đẩy thẳng Kafka / ES (Vi phạm BLOCKER)", "VI PHẠM (BLOCKER)", IF(AND(K20="ĐỦ 3 TRỤC (100%)", O20="ĐỦ 3 LEVEL DASHBOARD", P20="Qua OTel Collector (Đúng chuẩn)"), "ĐẠT CHUẨN QG2 (PASS)", IF(AND(K20="CHƯA GẮN (0%)", O20="CHƯA CÓ DASHBOARD"), "CHƯA TRIỂN KHAI", "ĐANG HOÀN THIỆN (PENDING)"))))</f>
        <v/>
      </c>
      <c r="S20" s="45" t="n"/>
      <c r="T20" s="45" t="n"/>
      <c r="U20" s="47" t="n"/>
      <c r="V20" s="45" t="n"/>
    </row>
    <row r="21" ht="24" customHeight="1">
      <c r="A21" s="44">
        <f>IF(COUNTA(B21:C21)=0, "", COUNTA($C$6:C21))</f>
        <v/>
      </c>
      <c r="B21" s="24" t="n"/>
      <c r="C21" s="48" t="n"/>
      <c r="D21" s="25" t="n"/>
      <c r="E21" s="25" t="n"/>
      <c r="F21" s="44">
        <f>IF(E21="", "", IF(OR(E21=".NET 8 (SDK v1.5+ hỗ trợ chính thức)", E21=".NET 6 / .NET 7 (SDK v1.5+ hỗ trợ chính thức)"), "Hỗ trợ chuẩn SDK (.NET 6/7/8)", "Ngoài phạm vi SDK (Dùng OTel Native)"))</f>
        <v/>
      </c>
      <c r="G21" s="25" t="n"/>
      <c r="H21" s="25" t="n"/>
      <c r="I21" s="25" t="n"/>
      <c r="J21" s="25" t="n"/>
      <c r="K21" s="44">
        <f>IF(COUNTA(H21:J21)=0, "", IF(COUNTIF(H21:J21, "Đã hoàn thành (Đạt chuẩn)")=3, "ĐỦ 3 TRỤC (100%)", IF(COUNTIF(H21:J21, "Chưa triển khai")=3, "CHƯA GẮN (0%)", "THIẾU / CHƯA ĐẠT (" &amp; COUNTIF(H21:J21, "Đã hoàn thành (Đạt chuẩn)") &amp; "/3)")))</f>
        <v/>
      </c>
      <c r="L21" s="25" t="n"/>
      <c r="M21" s="25" t="n"/>
      <c r="N21" s="25" t="n"/>
      <c r="O21" s="44">
        <f>IF(COUNTA(L21:N21)=0, "", IF(COUNTIF(L21:N21, "Đã có (Đạt chuẩn)")=3, "ĐỦ 3 LEVEL DASHBOARD", IF(COUNTIF(L21:N21, "Chưa có")=3, "CHƯA CÓ DASHBOARD", "THIẾU DASHBOARD (" &amp; COUNTIF(L21:N21, "Đã có (Đạt chuẩn)") &amp; "/3)")))</f>
        <v/>
      </c>
      <c r="P21" s="25" t="n"/>
      <c r="Q21" s="25" t="n"/>
      <c r="R21" s="44">
        <f>IF(C21="", "", IF(P21="Đẩy thẳng Kafka / ES (Vi phạm BLOCKER)", "VI PHẠM (BLOCKER)", IF(AND(K21="ĐỦ 3 TRỤC (100%)", O21="ĐỦ 3 LEVEL DASHBOARD", P21="Qua OTel Collector (Đúng chuẩn)"), "ĐẠT CHUẨN QG2 (PASS)", IF(AND(K21="CHƯA GẮN (0%)", O21="CHƯA CÓ DASHBOARD"), "CHƯA TRIỂN KHAI", "ĐANG HOÀN THIỆN (PENDING)"))))</f>
        <v/>
      </c>
      <c r="S21" s="24" t="n"/>
      <c r="T21" s="24" t="n"/>
      <c r="U21" s="25" t="n"/>
      <c r="V21" s="24" t="n"/>
    </row>
    <row r="22" ht="24" customHeight="1">
      <c r="A22" s="44">
        <f>IF(COUNTA(B22:C22)=0, "", COUNTA($C$6:C22))</f>
        <v/>
      </c>
      <c r="B22" s="45" t="n"/>
      <c r="C22" s="46" t="n"/>
      <c r="D22" s="47" t="n"/>
      <c r="E22" s="47" t="n"/>
      <c r="F22" s="44">
        <f>IF(E22="", "", IF(OR(E22=".NET 8 (SDK v1.5+ hỗ trợ chính thức)", E22=".NET 6 / .NET 7 (SDK v1.5+ hỗ trợ chính thức)"), "Hỗ trợ chuẩn SDK (.NET 6/7/8)", "Ngoài phạm vi SDK (Dùng OTel Native)"))</f>
        <v/>
      </c>
      <c r="G22" s="47" t="n"/>
      <c r="H22" s="47" t="n"/>
      <c r="I22" s="47" t="n"/>
      <c r="J22" s="47" t="n"/>
      <c r="K22" s="44">
        <f>IF(COUNTA(H22:J22)=0, "", IF(COUNTIF(H22:J22, "Đã hoàn thành (Đạt chuẩn)")=3, "ĐỦ 3 TRỤC (100%)", IF(COUNTIF(H22:J22, "Chưa triển khai")=3, "CHƯA GẮN (0%)", "THIẾU / CHƯA ĐẠT (" &amp; COUNTIF(H22:J22, "Đã hoàn thành (Đạt chuẩn)") &amp; "/3)")))</f>
        <v/>
      </c>
      <c r="L22" s="47" t="n"/>
      <c r="M22" s="47" t="n"/>
      <c r="N22" s="47" t="n"/>
      <c r="O22" s="44">
        <f>IF(COUNTA(L22:N22)=0, "", IF(COUNTIF(L22:N22, "Đã có (Đạt chuẩn)")=3, "ĐỦ 3 LEVEL DASHBOARD", IF(COUNTIF(L22:N22, "Chưa có")=3, "CHƯA CÓ DASHBOARD", "THIẾU DASHBOARD (" &amp; COUNTIF(L22:N22, "Đã có (Đạt chuẩn)") &amp; "/3)")))</f>
        <v/>
      </c>
      <c r="P22" s="47" t="n"/>
      <c r="Q22" s="47" t="n"/>
      <c r="R22" s="44">
        <f>IF(C22="", "", IF(P22="Đẩy thẳng Kafka / ES (Vi phạm BLOCKER)", "VI PHẠM (BLOCKER)", IF(AND(K22="ĐỦ 3 TRỤC (100%)", O22="ĐỦ 3 LEVEL DASHBOARD", P22="Qua OTel Collector (Đúng chuẩn)"), "ĐẠT CHUẨN QG2 (PASS)", IF(AND(K22="CHƯA GẮN (0%)", O22="CHƯA CÓ DASHBOARD"), "CHƯA TRIỂN KHAI", "ĐANG HOÀN THIỆN (PENDING)"))))</f>
        <v/>
      </c>
      <c r="S22" s="45" t="n"/>
      <c r="T22" s="45" t="n"/>
      <c r="U22" s="47" t="n"/>
      <c r="V22" s="45" t="n"/>
    </row>
    <row r="23" ht="24" customHeight="1">
      <c r="A23" s="44">
        <f>IF(COUNTA(B23:C23)=0, "", COUNTA($C$6:C23))</f>
        <v/>
      </c>
      <c r="B23" s="24" t="n"/>
      <c r="C23" s="48" t="n"/>
      <c r="D23" s="25" t="n"/>
      <c r="E23" s="25" t="n"/>
      <c r="F23" s="44">
        <f>IF(E23="", "", IF(OR(E23=".NET 8 (SDK v1.5+ hỗ trợ chính thức)", E23=".NET 6 / .NET 7 (SDK v1.5+ hỗ trợ chính thức)"), "Hỗ trợ chuẩn SDK (.NET 6/7/8)", "Ngoài phạm vi SDK (Dùng OTel Native)"))</f>
        <v/>
      </c>
      <c r="G23" s="25" t="n"/>
      <c r="H23" s="25" t="n"/>
      <c r="I23" s="25" t="n"/>
      <c r="J23" s="25" t="n"/>
      <c r="K23" s="44">
        <f>IF(COUNTA(H23:J23)=0, "", IF(COUNTIF(H23:J23, "Đã hoàn thành (Đạt chuẩn)")=3, "ĐỦ 3 TRỤC (100%)", IF(COUNTIF(H23:J23, "Chưa triển khai")=3, "CHƯA GẮN (0%)", "THIẾU / CHƯA ĐẠT (" &amp; COUNTIF(H23:J23, "Đã hoàn thành (Đạt chuẩn)") &amp; "/3)")))</f>
        <v/>
      </c>
      <c r="L23" s="25" t="n"/>
      <c r="M23" s="25" t="n"/>
      <c r="N23" s="25" t="n"/>
      <c r="O23" s="44">
        <f>IF(COUNTA(L23:N23)=0, "", IF(COUNTIF(L23:N23, "Đã có (Đạt chuẩn)")=3, "ĐỦ 3 LEVEL DASHBOARD", IF(COUNTIF(L23:N23, "Chưa có")=3, "CHƯA CÓ DASHBOARD", "THIẾU DASHBOARD (" &amp; COUNTIF(L23:N23, "Đã có (Đạt chuẩn)") &amp; "/3)")))</f>
        <v/>
      </c>
      <c r="P23" s="25" t="n"/>
      <c r="Q23" s="25" t="n"/>
      <c r="R23" s="44">
        <f>IF(C23="", "", IF(P23="Đẩy thẳng Kafka / ES (Vi phạm BLOCKER)", "VI PHẠM (BLOCKER)", IF(AND(K23="ĐỦ 3 TRỤC (100%)", O23="ĐỦ 3 LEVEL DASHBOARD", P23="Qua OTel Collector (Đúng chuẩn)"), "ĐẠT CHUẨN QG2 (PASS)", IF(AND(K23="CHƯA GẮN (0%)", O23="CHƯA CÓ DASHBOARD"), "CHƯA TRIỂN KHAI", "ĐANG HOÀN THIỆN (PENDING)"))))</f>
        <v/>
      </c>
      <c r="S23" s="24" t="n"/>
      <c r="T23" s="24" t="n"/>
      <c r="U23" s="25" t="n"/>
      <c r="V23" s="24" t="n"/>
    </row>
    <row r="24" ht="24" customHeight="1">
      <c r="A24" s="44">
        <f>IF(COUNTA(B24:C24)=0, "", COUNTA($C$6:C24))</f>
        <v/>
      </c>
      <c r="B24" s="45" t="n"/>
      <c r="C24" s="46" t="n"/>
      <c r="D24" s="47" t="n"/>
      <c r="E24" s="47" t="n"/>
      <c r="F24" s="44">
        <f>IF(E24="", "", IF(OR(E24=".NET 8 (SDK v1.5+ hỗ trợ chính thức)", E24=".NET 6 / .NET 7 (SDK v1.5+ hỗ trợ chính thức)"), "Hỗ trợ chuẩn SDK (.NET 6/7/8)", "Ngoài phạm vi SDK (Dùng OTel Native)"))</f>
        <v/>
      </c>
      <c r="G24" s="47" t="n"/>
      <c r="H24" s="47" t="n"/>
      <c r="I24" s="47" t="n"/>
      <c r="J24" s="47" t="n"/>
      <c r="K24" s="44">
        <f>IF(COUNTA(H24:J24)=0, "", IF(COUNTIF(H24:J24, "Đã hoàn thành (Đạt chuẩn)")=3, "ĐỦ 3 TRỤC (100%)", IF(COUNTIF(H24:J24, "Chưa triển khai")=3, "CHƯA GẮN (0%)", "THIẾU / CHƯA ĐẠT (" &amp; COUNTIF(H24:J24, "Đã hoàn thành (Đạt chuẩn)") &amp; "/3)")))</f>
        <v/>
      </c>
      <c r="L24" s="47" t="n"/>
      <c r="M24" s="47" t="n"/>
      <c r="N24" s="47" t="n"/>
      <c r="O24" s="44">
        <f>IF(COUNTA(L24:N24)=0, "", IF(COUNTIF(L24:N24, "Đã có (Đạt chuẩn)")=3, "ĐỦ 3 LEVEL DASHBOARD", IF(COUNTIF(L24:N24, "Chưa có")=3, "CHƯA CÓ DASHBOARD", "THIẾU DASHBOARD (" &amp; COUNTIF(L24:N24, "Đã có (Đạt chuẩn)") &amp; "/3)")))</f>
        <v/>
      </c>
      <c r="P24" s="47" t="n"/>
      <c r="Q24" s="47" t="n"/>
      <c r="R24" s="44">
        <f>IF(C24="", "", IF(P24="Đẩy thẳng Kafka / ES (Vi phạm BLOCKER)", "VI PHẠM (BLOCKER)", IF(AND(K24="ĐỦ 3 TRỤC (100%)", O24="ĐỦ 3 LEVEL DASHBOARD", P24="Qua OTel Collector (Đúng chuẩn)"), "ĐẠT CHUẨN QG2 (PASS)", IF(AND(K24="CHƯA GẮN (0%)", O24="CHƯA CÓ DASHBOARD"), "CHƯA TRIỂN KHAI", "ĐANG HOÀN THIỆN (PENDING)"))))</f>
        <v/>
      </c>
      <c r="S24" s="45" t="n"/>
      <c r="T24" s="45" t="n"/>
      <c r="U24" s="47" t="n"/>
      <c r="V24" s="45" t="n"/>
    </row>
    <row r="25" ht="24" customHeight="1">
      <c r="A25" s="44">
        <f>IF(COUNTA(B25:C25)=0, "", COUNTA($C$6:C25))</f>
        <v/>
      </c>
      <c r="B25" s="24" t="n"/>
      <c r="C25" s="48" t="n"/>
      <c r="D25" s="25" t="n"/>
      <c r="E25" s="25" t="n"/>
      <c r="F25" s="44">
        <f>IF(E25="", "", IF(OR(E25=".NET 8 (SDK v1.5+ hỗ trợ chính thức)", E25=".NET 6 / .NET 7 (SDK v1.5+ hỗ trợ chính thức)"), "Hỗ trợ chuẩn SDK (.NET 6/7/8)", "Ngoài phạm vi SDK (Dùng OTel Native)"))</f>
        <v/>
      </c>
      <c r="G25" s="25" t="n"/>
      <c r="H25" s="25" t="n"/>
      <c r="I25" s="25" t="n"/>
      <c r="J25" s="25" t="n"/>
      <c r="K25" s="44">
        <f>IF(COUNTA(H25:J25)=0, "", IF(COUNTIF(H25:J25, "Đã hoàn thành (Đạt chuẩn)")=3, "ĐỦ 3 TRỤC (100%)", IF(COUNTIF(H25:J25, "Chưa triển khai")=3, "CHƯA GẮN (0%)", "THIẾU / CHƯA ĐẠT (" &amp; COUNTIF(H25:J25, "Đã hoàn thành (Đạt chuẩn)") &amp; "/3)")))</f>
        <v/>
      </c>
      <c r="L25" s="25" t="n"/>
      <c r="M25" s="25" t="n"/>
      <c r="N25" s="25" t="n"/>
      <c r="O25" s="44">
        <f>IF(COUNTA(L25:N25)=0, "", IF(COUNTIF(L25:N25, "Đã có (Đạt chuẩn)")=3, "ĐỦ 3 LEVEL DASHBOARD", IF(COUNTIF(L25:N25, "Chưa có")=3, "CHƯA CÓ DASHBOARD", "THIẾU DASHBOARD (" &amp; COUNTIF(L25:N25, "Đã có (Đạt chuẩn)") &amp; "/3)")))</f>
        <v/>
      </c>
      <c r="P25" s="25" t="n"/>
      <c r="Q25" s="25" t="n"/>
      <c r="R25" s="44">
        <f>IF(C25="", "", IF(P25="Đẩy thẳng Kafka / ES (Vi phạm BLOCKER)", "VI PHẠM (BLOCKER)", IF(AND(K25="ĐỦ 3 TRỤC (100%)", O25="ĐỦ 3 LEVEL DASHBOARD", P25="Qua OTel Collector (Đúng chuẩn)"), "ĐẠT CHUẨN QG2 (PASS)", IF(AND(K25="CHƯA GẮN (0%)", O25="CHƯA CÓ DASHBOARD"), "CHƯA TRIỂN KHAI", "ĐANG HOÀN THIỆN (PENDING)"))))</f>
        <v/>
      </c>
      <c r="S25" s="24" t="n"/>
      <c r="T25" s="24" t="n"/>
      <c r="U25" s="25" t="n"/>
      <c r="V25" s="24" t="n"/>
    </row>
    <row r="26" ht="24" customHeight="1">
      <c r="A26" s="44">
        <f>IF(COUNTA(B26:C26)=0, "", COUNTA($C$6:C26))</f>
        <v/>
      </c>
      <c r="B26" s="45" t="n"/>
      <c r="C26" s="46" t="n"/>
      <c r="D26" s="47" t="n"/>
      <c r="E26" s="47" t="n"/>
      <c r="F26" s="44">
        <f>IF(E26="", "", IF(OR(E26=".NET 8 (SDK v1.5+ hỗ trợ chính thức)", E26=".NET 6 / .NET 7 (SDK v1.5+ hỗ trợ chính thức)"), "Hỗ trợ chuẩn SDK (.NET 6/7/8)", "Ngoài phạm vi SDK (Dùng OTel Native)"))</f>
        <v/>
      </c>
      <c r="G26" s="47" t="n"/>
      <c r="H26" s="47" t="n"/>
      <c r="I26" s="47" t="n"/>
      <c r="J26" s="47" t="n"/>
      <c r="K26" s="44">
        <f>IF(COUNTA(H26:J26)=0, "", IF(COUNTIF(H26:J26, "Đã hoàn thành (Đạt chuẩn)")=3, "ĐỦ 3 TRỤC (100%)", IF(COUNTIF(H26:J26, "Chưa triển khai")=3, "CHƯA GẮN (0%)", "THIẾU / CHƯA ĐẠT (" &amp; COUNTIF(H26:J26, "Đã hoàn thành (Đạt chuẩn)") &amp; "/3)")))</f>
        <v/>
      </c>
      <c r="L26" s="47" t="n"/>
      <c r="M26" s="47" t="n"/>
      <c r="N26" s="47" t="n"/>
      <c r="O26" s="44">
        <f>IF(COUNTA(L26:N26)=0, "", IF(COUNTIF(L26:N26, "Đã có (Đạt chuẩn)")=3, "ĐỦ 3 LEVEL DASHBOARD", IF(COUNTIF(L26:N26, "Chưa có")=3, "CHƯA CÓ DASHBOARD", "THIẾU DASHBOARD (" &amp; COUNTIF(L26:N26, "Đã có (Đạt chuẩn)") &amp; "/3)")))</f>
        <v/>
      </c>
      <c r="P26" s="47" t="n"/>
      <c r="Q26" s="47" t="n"/>
      <c r="R26" s="44">
        <f>IF(C26="", "", IF(P26="Đẩy thẳng Kafka / ES (Vi phạm BLOCKER)", "VI PHẠM (BLOCKER)", IF(AND(K26="ĐỦ 3 TRỤC (100%)", O26="ĐỦ 3 LEVEL DASHBOARD", P26="Qua OTel Collector (Đúng chuẩn)"), "ĐẠT CHUẨN QG2 (PASS)", IF(AND(K26="CHƯA GẮN (0%)", O26="CHƯA CÓ DASHBOARD"), "CHƯA TRIỂN KHAI", "ĐANG HOÀN THIỆN (PENDING)"))))</f>
        <v/>
      </c>
      <c r="S26" s="45" t="n"/>
      <c r="T26" s="45" t="n"/>
      <c r="U26" s="47" t="n"/>
      <c r="V26" s="45" t="n"/>
    </row>
    <row r="27" ht="24" customHeight="1">
      <c r="A27" s="44">
        <f>IF(COUNTA(B27:C27)=0, "", COUNTA($C$6:C27))</f>
        <v/>
      </c>
      <c r="B27" s="24" t="n"/>
      <c r="C27" s="48" t="n"/>
      <c r="D27" s="25" t="n"/>
      <c r="E27" s="25" t="n"/>
      <c r="F27" s="44">
        <f>IF(E27="", "", IF(OR(E27=".NET 8 (SDK v1.5+ hỗ trợ chính thức)", E27=".NET 6 / .NET 7 (SDK v1.5+ hỗ trợ chính thức)"), "Hỗ trợ chuẩn SDK (.NET 6/7/8)", "Ngoài phạm vi SDK (Dùng OTel Native)"))</f>
        <v/>
      </c>
      <c r="G27" s="25" t="n"/>
      <c r="H27" s="25" t="n"/>
      <c r="I27" s="25" t="n"/>
      <c r="J27" s="25" t="n"/>
      <c r="K27" s="44">
        <f>IF(COUNTA(H27:J27)=0, "", IF(COUNTIF(H27:J27, "Đã hoàn thành (Đạt chuẩn)")=3, "ĐỦ 3 TRỤC (100%)", IF(COUNTIF(H27:J27, "Chưa triển khai")=3, "CHƯA GẮN (0%)", "THIẾU / CHƯA ĐẠT (" &amp; COUNTIF(H27:J27, "Đã hoàn thành (Đạt chuẩn)") &amp; "/3)")))</f>
        <v/>
      </c>
      <c r="L27" s="25" t="n"/>
      <c r="M27" s="25" t="n"/>
      <c r="N27" s="25" t="n"/>
      <c r="O27" s="44">
        <f>IF(COUNTA(L27:N27)=0, "", IF(COUNTIF(L27:N27, "Đã có (Đạt chuẩn)")=3, "ĐỦ 3 LEVEL DASHBOARD", IF(COUNTIF(L27:N27, "Chưa có")=3, "CHƯA CÓ DASHBOARD", "THIẾU DASHBOARD (" &amp; COUNTIF(L27:N27, "Đã có (Đạt chuẩn)") &amp; "/3)")))</f>
        <v/>
      </c>
      <c r="P27" s="25" t="n"/>
      <c r="Q27" s="25" t="n"/>
      <c r="R27" s="44">
        <f>IF(C27="", "", IF(P27="Đẩy thẳng Kafka / ES (Vi phạm BLOCKER)", "VI PHẠM (BLOCKER)", IF(AND(K27="ĐỦ 3 TRỤC (100%)", O27="ĐỦ 3 LEVEL DASHBOARD", P27="Qua OTel Collector (Đúng chuẩn)"), "ĐẠT CHUẨN QG2 (PASS)", IF(AND(K27="CHƯA GẮN (0%)", O27="CHƯA CÓ DASHBOARD"), "CHƯA TRIỂN KHAI", "ĐANG HOÀN THIỆN (PENDING)"))))</f>
        <v/>
      </c>
      <c r="S27" s="24" t="n"/>
      <c r="T27" s="24" t="n"/>
      <c r="U27" s="25" t="n"/>
      <c r="V27" s="24" t="n"/>
    </row>
    <row r="28" ht="24" customHeight="1">
      <c r="A28" s="44">
        <f>IF(COUNTA(B28:C28)=0, "", COUNTA($C$6:C28))</f>
        <v/>
      </c>
      <c r="B28" s="45" t="n"/>
      <c r="C28" s="46" t="n"/>
      <c r="D28" s="47" t="n"/>
      <c r="E28" s="47" t="n"/>
      <c r="F28" s="44">
        <f>IF(E28="", "", IF(OR(E28=".NET 8 (SDK v1.5+ hỗ trợ chính thức)", E28=".NET 6 / .NET 7 (SDK v1.5+ hỗ trợ chính thức)"), "Hỗ trợ chuẩn SDK (.NET 6/7/8)", "Ngoài phạm vi SDK (Dùng OTel Native)"))</f>
        <v/>
      </c>
      <c r="G28" s="47" t="n"/>
      <c r="H28" s="47" t="n"/>
      <c r="I28" s="47" t="n"/>
      <c r="J28" s="47" t="n"/>
      <c r="K28" s="44">
        <f>IF(COUNTA(H28:J28)=0, "", IF(COUNTIF(H28:J28, "Đã hoàn thành (Đạt chuẩn)")=3, "ĐỦ 3 TRỤC (100%)", IF(COUNTIF(H28:J28, "Chưa triển khai")=3, "CHƯA GẮN (0%)", "THIẾU / CHƯA ĐẠT (" &amp; COUNTIF(H28:J28, "Đã hoàn thành (Đạt chuẩn)") &amp; "/3)")))</f>
        <v/>
      </c>
      <c r="L28" s="47" t="n"/>
      <c r="M28" s="47" t="n"/>
      <c r="N28" s="47" t="n"/>
      <c r="O28" s="44">
        <f>IF(COUNTA(L28:N28)=0, "", IF(COUNTIF(L28:N28, "Đã có (Đạt chuẩn)")=3, "ĐỦ 3 LEVEL DASHBOARD", IF(COUNTIF(L28:N28, "Chưa có")=3, "CHƯA CÓ DASHBOARD", "THIẾU DASHBOARD (" &amp; COUNTIF(L28:N28, "Đã có (Đạt chuẩn)") &amp; "/3)")))</f>
        <v/>
      </c>
      <c r="P28" s="47" t="n"/>
      <c r="Q28" s="47" t="n"/>
      <c r="R28" s="44">
        <f>IF(C28="", "", IF(P28="Đẩy thẳng Kafka / ES (Vi phạm BLOCKER)", "VI PHẠM (BLOCKER)", IF(AND(K28="ĐỦ 3 TRỤC (100%)", O28="ĐỦ 3 LEVEL DASHBOARD", P28="Qua OTel Collector (Đúng chuẩn)"), "ĐẠT CHUẨN QG2 (PASS)", IF(AND(K28="CHƯA GẮN (0%)", O28="CHƯA CÓ DASHBOARD"), "CHƯA TRIỂN KHAI", "ĐANG HOÀN THIỆN (PENDING)"))))</f>
        <v/>
      </c>
      <c r="S28" s="45" t="n"/>
      <c r="T28" s="45" t="n"/>
      <c r="U28" s="47" t="n"/>
      <c r="V28" s="45" t="n"/>
    </row>
    <row r="29" ht="24" customHeight="1">
      <c r="A29" s="44">
        <f>IF(COUNTA(B29:C29)=0, "", COUNTA($C$6:C29))</f>
        <v/>
      </c>
      <c r="B29" s="24" t="n"/>
      <c r="C29" s="48" t="n"/>
      <c r="D29" s="25" t="n"/>
      <c r="E29" s="25" t="n"/>
      <c r="F29" s="44">
        <f>IF(E29="", "", IF(OR(E29=".NET 8 (SDK v1.5+ hỗ trợ chính thức)", E29=".NET 6 / .NET 7 (SDK v1.5+ hỗ trợ chính thức)"), "Hỗ trợ chuẩn SDK (.NET 6/7/8)", "Ngoài phạm vi SDK (Dùng OTel Native)"))</f>
        <v/>
      </c>
      <c r="G29" s="25" t="n"/>
      <c r="H29" s="25" t="n"/>
      <c r="I29" s="25" t="n"/>
      <c r="J29" s="25" t="n"/>
      <c r="K29" s="44">
        <f>IF(COUNTA(H29:J29)=0, "", IF(COUNTIF(H29:J29, "Đã hoàn thành (Đạt chuẩn)")=3, "ĐỦ 3 TRỤC (100%)", IF(COUNTIF(H29:J29, "Chưa triển khai")=3, "CHƯA GẮN (0%)", "THIẾU / CHƯA ĐẠT (" &amp; COUNTIF(H29:J29, "Đã hoàn thành (Đạt chuẩn)") &amp; "/3)")))</f>
        <v/>
      </c>
      <c r="L29" s="25" t="n"/>
      <c r="M29" s="25" t="n"/>
      <c r="N29" s="25" t="n"/>
      <c r="O29" s="44">
        <f>IF(COUNTA(L29:N29)=0, "", IF(COUNTIF(L29:N29, "Đã có (Đạt chuẩn)")=3, "ĐỦ 3 LEVEL DASHBOARD", IF(COUNTIF(L29:N29, "Chưa có")=3, "CHƯA CÓ DASHBOARD", "THIẾU DASHBOARD (" &amp; COUNTIF(L29:N29, "Đã có (Đạt chuẩn)") &amp; "/3)")))</f>
        <v/>
      </c>
      <c r="P29" s="25" t="n"/>
      <c r="Q29" s="25" t="n"/>
      <c r="R29" s="44">
        <f>IF(C29="", "", IF(P29="Đẩy thẳng Kafka / ES (Vi phạm BLOCKER)", "VI PHẠM (BLOCKER)", IF(AND(K29="ĐỦ 3 TRỤC (100%)", O29="ĐỦ 3 LEVEL DASHBOARD", P29="Qua OTel Collector (Đúng chuẩn)"), "ĐẠT CHUẨN QG2 (PASS)", IF(AND(K29="CHƯA GẮN (0%)", O29="CHƯA CÓ DASHBOARD"), "CHƯA TRIỂN KHAI", "ĐANG HOÀN THIỆN (PENDING)"))))</f>
        <v/>
      </c>
      <c r="S29" s="24" t="n"/>
      <c r="T29" s="24" t="n"/>
      <c r="U29" s="25" t="n"/>
      <c r="V29" s="24" t="n"/>
    </row>
    <row r="30" ht="24" customHeight="1">
      <c r="A30" s="44">
        <f>IF(COUNTA(B30:C30)=0, "", COUNTA($C$6:C30))</f>
        <v/>
      </c>
      <c r="B30" s="45" t="n"/>
      <c r="C30" s="46" t="n"/>
      <c r="D30" s="47" t="n"/>
      <c r="E30" s="47" t="n"/>
      <c r="F30" s="44">
        <f>IF(E30="", "", IF(OR(E30=".NET 8 (SDK v1.5+ hỗ trợ chính thức)", E30=".NET 6 / .NET 7 (SDK v1.5+ hỗ trợ chính thức)"), "Hỗ trợ chuẩn SDK (.NET 6/7/8)", "Ngoài phạm vi SDK (Dùng OTel Native)"))</f>
        <v/>
      </c>
      <c r="G30" s="47" t="n"/>
      <c r="H30" s="47" t="n"/>
      <c r="I30" s="47" t="n"/>
      <c r="J30" s="47" t="n"/>
      <c r="K30" s="44">
        <f>IF(COUNTA(H30:J30)=0, "", IF(COUNTIF(H30:J30, "Đã hoàn thành (Đạt chuẩn)")=3, "ĐỦ 3 TRỤC (100%)", IF(COUNTIF(H30:J30, "Chưa triển khai")=3, "CHƯA GẮN (0%)", "THIẾU / CHƯA ĐẠT (" &amp; COUNTIF(H30:J30, "Đã hoàn thành (Đạt chuẩn)") &amp; "/3)")))</f>
        <v/>
      </c>
      <c r="L30" s="47" t="n"/>
      <c r="M30" s="47" t="n"/>
      <c r="N30" s="47" t="n"/>
      <c r="O30" s="44">
        <f>IF(COUNTA(L30:N30)=0, "", IF(COUNTIF(L30:N30, "Đã có (Đạt chuẩn)")=3, "ĐỦ 3 LEVEL DASHBOARD", IF(COUNTIF(L30:N30, "Chưa có")=3, "CHƯA CÓ DASHBOARD", "THIẾU DASHBOARD (" &amp; COUNTIF(L30:N30, "Đã có (Đạt chuẩn)") &amp; "/3)")))</f>
        <v/>
      </c>
      <c r="P30" s="47" t="n"/>
      <c r="Q30" s="47" t="n"/>
      <c r="R30" s="44">
        <f>IF(C30="", "", IF(P30="Đẩy thẳng Kafka / ES (Vi phạm BLOCKER)", "VI PHẠM (BLOCKER)", IF(AND(K30="ĐỦ 3 TRỤC (100%)", O30="ĐỦ 3 LEVEL DASHBOARD", P30="Qua OTel Collector (Đúng chuẩn)"), "ĐẠT CHUẨN QG2 (PASS)", IF(AND(K30="CHƯA GẮN (0%)", O30="CHƯA CÓ DASHBOARD"), "CHƯA TRIỂN KHAI", "ĐANG HOÀN THIỆN (PENDING)"))))</f>
        <v/>
      </c>
      <c r="S30" s="45" t="n"/>
      <c r="T30" s="45" t="n"/>
      <c r="U30" s="47" t="n"/>
      <c r="V30" s="45" t="n"/>
    </row>
    <row r="31" ht="24" customHeight="1">
      <c r="A31" s="44">
        <f>IF(COUNTA(B31:C31)=0, "", COUNTA($C$6:C31))</f>
        <v/>
      </c>
      <c r="B31" s="24" t="n"/>
      <c r="C31" s="48" t="n"/>
      <c r="D31" s="25" t="n"/>
      <c r="E31" s="25" t="n"/>
      <c r="F31" s="44">
        <f>IF(E31="", "", IF(OR(E31=".NET 8 (SDK v1.5+ hỗ trợ chính thức)", E31=".NET 6 / .NET 7 (SDK v1.5+ hỗ trợ chính thức)"), "Hỗ trợ chuẩn SDK (.NET 6/7/8)", "Ngoài phạm vi SDK (Dùng OTel Native)"))</f>
        <v/>
      </c>
      <c r="G31" s="25" t="n"/>
      <c r="H31" s="25" t="n"/>
      <c r="I31" s="25" t="n"/>
      <c r="J31" s="25" t="n"/>
      <c r="K31" s="44">
        <f>IF(COUNTA(H31:J31)=0, "", IF(COUNTIF(H31:J31, "Đã hoàn thành (Đạt chuẩn)")=3, "ĐỦ 3 TRỤC (100%)", IF(COUNTIF(H31:J31, "Chưa triển khai")=3, "CHƯA GẮN (0%)", "THIẾU / CHƯA ĐẠT (" &amp; COUNTIF(H31:J31, "Đã hoàn thành (Đạt chuẩn)") &amp; "/3)")))</f>
        <v/>
      </c>
      <c r="L31" s="25" t="n"/>
      <c r="M31" s="25" t="n"/>
      <c r="N31" s="25" t="n"/>
      <c r="O31" s="44">
        <f>IF(COUNTA(L31:N31)=0, "", IF(COUNTIF(L31:N31, "Đã có (Đạt chuẩn)")=3, "ĐỦ 3 LEVEL DASHBOARD", IF(COUNTIF(L31:N31, "Chưa có")=3, "CHƯA CÓ DASHBOARD", "THIẾU DASHBOARD (" &amp; COUNTIF(L31:N31, "Đã có (Đạt chuẩn)") &amp; "/3)")))</f>
        <v/>
      </c>
      <c r="P31" s="25" t="n"/>
      <c r="Q31" s="25" t="n"/>
      <c r="R31" s="44">
        <f>IF(C31="", "", IF(P31="Đẩy thẳng Kafka / ES (Vi phạm BLOCKER)", "VI PHẠM (BLOCKER)", IF(AND(K31="ĐỦ 3 TRỤC (100%)", O31="ĐỦ 3 LEVEL DASHBOARD", P31="Qua OTel Collector (Đúng chuẩn)"), "ĐẠT CHUẨN QG2 (PASS)", IF(AND(K31="CHƯA GẮN (0%)", O31="CHƯA CÓ DASHBOARD"), "CHƯA TRIỂN KHAI", "ĐANG HOÀN THIỆN (PENDING)"))))</f>
        <v/>
      </c>
      <c r="S31" s="24" t="n"/>
      <c r="T31" s="24" t="n"/>
      <c r="U31" s="25" t="n"/>
      <c r="V31" s="24" t="n"/>
    </row>
    <row r="32" ht="24" customHeight="1">
      <c r="A32" s="44">
        <f>IF(COUNTA(B32:C32)=0, "", COUNTA($C$6:C32))</f>
        <v/>
      </c>
      <c r="B32" s="45" t="n"/>
      <c r="C32" s="46" t="n"/>
      <c r="D32" s="47" t="n"/>
      <c r="E32" s="47" t="n"/>
      <c r="F32" s="44">
        <f>IF(E32="", "", IF(OR(E32=".NET 8 (SDK v1.5+ hỗ trợ chính thức)", E32=".NET 6 / .NET 7 (SDK v1.5+ hỗ trợ chính thức)"), "Hỗ trợ chuẩn SDK (.NET 6/7/8)", "Ngoài phạm vi SDK (Dùng OTel Native)"))</f>
        <v/>
      </c>
      <c r="G32" s="47" t="n"/>
      <c r="H32" s="47" t="n"/>
      <c r="I32" s="47" t="n"/>
      <c r="J32" s="47" t="n"/>
      <c r="K32" s="44">
        <f>IF(COUNTA(H32:J32)=0, "", IF(COUNTIF(H32:J32, "Đã hoàn thành (Đạt chuẩn)")=3, "ĐỦ 3 TRỤC (100%)", IF(COUNTIF(H32:J32, "Chưa triển khai")=3, "CHƯA GẮN (0%)", "THIẾU / CHƯA ĐẠT (" &amp; COUNTIF(H32:J32, "Đã hoàn thành (Đạt chuẩn)") &amp; "/3)")))</f>
        <v/>
      </c>
      <c r="L32" s="47" t="n"/>
      <c r="M32" s="47" t="n"/>
      <c r="N32" s="47" t="n"/>
      <c r="O32" s="44">
        <f>IF(COUNTA(L32:N32)=0, "", IF(COUNTIF(L32:N32, "Đã có (Đạt chuẩn)")=3, "ĐỦ 3 LEVEL DASHBOARD", IF(COUNTIF(L32:N32, "Chưa có")=3, "CHƯA CÓ DASHBOARD", "THIẾU DASHBOARD (" &amp; COUNTIF(L32:N32, "Đã có (Đạt chuẩn)") &amp; "/3)")))</f>
        <v/>
      </c>
      <c r="P32" s="47" t="n"/>
      <c r="Q32" s="47" t="n"/>
      <c r="R32" s="44">
        <f>IF(C32="", "", IF(P32="Đẩy thẳng Kafka / ES (Vi phạm BLOCKER)", "VI PHẠM (BLOCKER)", IF(AND(K32="ĐỦ 3 TRỤC (100%)", O32="ĐỦ 3 LEVEL DASHBOARD", P32="Qua OTel Collector (Đúng chuẩn)"), "ĐẠT CHUẨN QG2 (PASS)", IF(AND(K32="CHƯA GẮN (0%)", O32="CHƯA CÓ DASHBOARD"), "CHƯA TRIỂN KHAI", "ĐANG HOÀN THIỆN (PENDING)"))))</f>
        <v/>
      </c>
      <c r="S32" s="45" t="n"/>
      <c r="T32" s="45" t="n"/>
      <c r="U32" s="47" t="n"/>
      <c r="V32" s="45" t="n"/>
    </row>
    <row r="33" ht="24" customHeight="1">
      <c r="A33" s="44">
        <f>IF(COUNTA(B33:C33)=0, "", COUNTA($C$6:C33))</f>
        <v/>
      </c>
      <c r="B33" s="24" t="n"/>
      <c r="C33" s="48" t="n"/>
      <c r="D33" s="25" t="n"/>
      <c r="E33" s="25" t="n"/>
      <c r="F33" s="44">
        <f>IF(E33="", "", IF(OR(E33=".NET 8 (SDK v1.5+ hỗ trợ chính thức)", E33=".NET 6 / .NET 7 (SDK v1.5+ hỗ trợ chính thức)"), "Hỗ trợ chuẩn SDK (.NET 6/7/8)", "Ngoài phạm vi SDK (Dùng OTel Native)"))</f>
        <v/>
      </c>
      <c r="G33" s="25" t="n"/>
      <c r="H33" s="25" t="n"/>
      <c r="I33" s="25" t="n"/>
      <c r="J33" s="25" t="n"/>
      <c r="K33" s="44">
        <f>IF(COUNTA(H33:J33)=0, "", IF(COUNTIF(H33:J33, "Đã hoàn thành (Đạt chuẩn)")=3, "ĐỦ 3 TRỤC (100%)", IF(COUNTIF(H33:J33, "Chưa triển khai")=3, "CHƯA GẮN (0%)", "THIẾU / CHƯA ĐẠT (" &amp; COUNTIF(H33:J33, "Đã hoàn thành (Đạt chuẩn)") &amp; "/3)")))</f>
        <v/>
      </c>
      <c r="L33" s="25" t="n"/>
      <c r="M33" s="25" t="n"/>
      <c r="N33" s="25" t="n"/>
      <c r="O33" s="44">
        <f>IF(COUNTA(L33:N33)=0, "", IF(COUNTIF(L33:N33, "Đã có (Đạt chuẩn)")=3, "ĐỦ 3 LEVEL DASHBOARD", IF(COUNTIF(L33:N33, "Chưa có")=3, "CHƯA CÓ DASHBOARD", "THIẾU DASHBOARD (" &amp; COUNTIF(L33:N33, "Đã có (Đạt chuẩn)") &amp; "/3)")))</f>
        <v/>
      </c>
      <c r="P33" s="25" t="n"/>
      <c r="Q33" s="25" t="n"/>
      <c r="R33" s="44">
        <f>IF(C33="", "", IF(P33="Đẩy thẳng Kafka / ES (Vi phạm BLOCKER)", "VI PHẠM (BLOCKER)", IF(AND(K33="ĐỦ 3 TRỤC (100%)", O33="ĐỦ 3 LEVEL DASHBOARD", P33="Qua OTel Collector (Đúng chuẩn)"), "ĐẠT CHUẨN QG2 (PASS)", IF(AND(K33="CHƯA GẮN (0%)", O33="CHƯA CÓ DASHBOARD"), "CHƯA TRIỂN KHAI", "ĐANG HOÀN THIỆN (PENDING)"))))</f>
        <v/>
      </c>
      <c r="S33" s="24" t="n"/>
      <c r="T33" s="24" t="n"/>
      <c r="U33" s="25" t="n"/>
      <c r="V33" s="24" t="n"/>
    </row>
    <row r="34" ht="24" customHeight="1">
      <c r="A34" s="44">
        <f>IF(COUNTA(B34:C34)=0, "", COUNTA($C$6:C34))</f>
        <v/>
      </c>
      <c r="B34" s="45" t="n"/>
      <c r="C34" s="46" t="n"/>
      <c r="D34" s="47" t="n"/>
      <c r="E34" s="47" t="n"/>
      <c r="F34" s="44">
        <f>IF(E34="", "", IF(OR(E34=".NET 8 (SDK v1.5+ hỗ trợ chính thức)", E34=".NET 6 / .NET 7 (SDK v1.5+ hỗ trợ chính thức)"), "Hỗ trợ chuẩn SDK (.NET 6/7/8)", "Ngoài phạm vi SDK (Dùng OTel Native)"))</f>
        <v/>
      </c>
      <c r="G34" s="47" t="n"/>
      <c r="H34" s="47" t="n"/>
      <c r="I34" s="47" t="n"/>
      <c r="J34" s="47" t="n"/>
      <c r="K34" s="44">
        <f>IF(COUNTA(H34:J34)=0, "", IF(COUNTIF(H34:J34, "Đã hoàn thành (Đạt chuẩn)")=3, "ĐỦ 3 TRỤC (100%)", IF(COUNTIF(H34:J34, "Chưa triển khai")=3, "CHƯA GẮN (0%)", "THIẾU / CHƯA ĐẠT (" &amp; COUNTIF(H34:J34, "Đã hoàn thành (Đạt chuẩn)") &amp; "/3)")))</f>
        <v/>
      </c>
      <c r="L34" s="47" t="n"/>
      <c r="M34" s="47" t="n"/>
      <c r="N34" s="47" t="n"/>
      <c r="O34" s="44">
        <f>IF(COUNTA(L34:N34)=0, "", IF(COUNTIF(L34:N34, "Đã có (Đạt chuẩn)")=3, "ĐỦ 3 LEVEL DASHBOARD", IF(COUNTIF(L34:N34, "Chưa có")=3, "CHƯA CÓ DASHBOARD", "THIẾU DASHBOARD (" &amp; COUNTIF(L34:N34, "Đã có (Đạt chuẩn)") &amp; "/3)")))</f>
        <v/>
      </c>
      <c r="P34" s="47" t="n"/>
      <c r="Q34" s="47" t="n"/>
      <c r="R34" s="44">
        <f>IF(C34="", "", IF(P34="Đẩy thẳng Kafka / ES (Vi phạm BLOCKER)", "VI PHẠM (BLOCKER)", IF(AND(K34="ĐỦ 3 TRỤC (100%)", O34="ĐỦ 3 LEVEL DASHBOARD", P34="Qua OTel Collector (Đúng chuẩn)"), "ĐẠT CHUẨN QG2 (PASS)", IF(AND(K34="CHƯA GẮN (0%)", O34="CHƯA CÓ DASHBOARD"), "CHƯA TRIỂN KHAI", "ĐANG HOÀN THIỆN (PENDING)"))))</f>
        <v/>
      </c>
      <c r="S34" s="45" t="n"/>
      <c r="T34" s="45" t="n"/>
      <c r="U34" s="47" t="n"/>
      <c r="V34" s="45" t="n"/>
    </row>
    <row r="35" ht="24" customHeight="1">
      <c r="A35" s="44">
        <f>IF(COUNTA(B35:C35)=0, "", COUNTA($C$6:C35))</f>
        <v/>
      </c>
      <c r="B35" s="24" t="n"/>
      <c r="C35" s="48" t="n"/>
      <c r="D35" s="25" t="n"/>
      <c r="E35" s="25" t="n"/>
      <c r="F35" s="44">
        <f>IF(E35="", "", IF(OR(E35=".NET 8 (SDK v1.5+ hỗ trợ chính thức)", E35=".NET 6 / .NET 7 (SDK v1.5+ hỗ trợ chính thức)"), "Hỗ trợ chuẩn SDK (.NET 6/7/8)", "Ngoài phạm vi SDK (Dùng OTel Native)"))</f>
        <v/>
      </c>
      <c r="G35" s="25" t="n"/>
      <c r="H35" s="25" t="n"/>
      <c r="I35" s="25" t="n"/>
      <c r="J35" s="25" t="n"/>
      <c r="K35" s="44">
        <f>IF(COUNTA(H35:J35)=0, "", IF(COUNTIF(H35:J35, "Đã hoàn thành (Đạt chuẩn)")=3, "ĐỦ 3 TRỤC (100%)", IF(COUNTIF(H35:J35, "Chưa triển khai")=3, "CHƯA GẮN (0%)", "THIẾU / CHƯA ĐẠT (" &amp; COUNTIF(H35:J35, "Đã hoàn thành (Đạt chuẩn)") &amp; "/3)")))</f>
        <v/>
      </c>
      <c r="L35" s="25" t="n"/>
      <c r="M35" s="25" t="n"/>
      <c r="N35" s="25" t="n"/>
      <c r="O35" s="44">
        <f>IF(COUNTA(L35:N35)=0, "", IF(COUNTIF(L35:N35, "Đã có (Đạt chuẩn)")=3, "ĐỦ 3 LEVEL DASHBOARD", IF(COUNTIF(L35:N35, "Chưa có")=3, "CHƯA CÓ DASHBOARD", "THIẾU DASHBOARD (" &amp; COUNTIF(L35:N35, "Đã có (Đạt chuẩn)") &amp; "/3)")))</f>
        <v/>
      </c>
      <c r="P35" s="25" t="n"/>
      <c r="Q35" s="25" t="n"/>
      <c r="R35" s="44">
        <f>IF(C35="", "", IF(P35="Đẩy thẳng Kafka / ES (Vi phạm BLOCKER)", "VI PHẠM (BLOCKER)", IF(AND(K35="ĐỦ 3 TRỤC (100%)", O35="ĐỦ 3 LEVEL DASHBOARD", P35="Qua OTel Collector (Đúng chuẩn)"), "ĐẠT CHUẨN QG2 (PASS)", IF(AND(K35="CHƯA GẮN (0%)", O35="CHƯA CÓ DASHBOARD"), "CHƯA TRIỂN KHAI", "ĐANG HOÀN THIỆN (PENDING)"))))</f>
        <v/>
      </c>
      <c r="S35" s="24" t="n"/>
      <c r="T35" s="24" t="n"/>
      <c r="U35" s="25" t="n"/>
      <c r="V35" s="24" t="n"/>
    </row>
    <row r="36" ht="24" customHeight="1">
      <c r="A36" s="44">
        <f>IF(COUNTA(B36:C36)=0, "", COUNTA($C$6:C36))</f>
        <v/>
      </c>
      <c r="B36" s="45" t="n"/>
      <c r="C36" s="46" t="n"/>
      <c r="D36" s="47" t="n"/>
      <c r="E36" s="47" t="n"/>
      <c r="F36" s="44">
        <f>IF(E36="", "", IF(OR(E36=".NET 8 (SDK v1.5+ hỗ trợ chính thức)", E36=".NET 6 / .NET 7 (SDK v1.5+ hỗ trợ chính thức)"), "Hỗ trợ chuẩn SDK (.NET 6/7/8)", "Ngoài phạm vi SDK (Dùng OTel Native)"))</f>
        <v/>
      </c>
      <c r="G36" s="47" t="n"/>
      <c r="H36" s="47" t="n"/>
      <c r="I36" s="47" t="n"/>
      <c r="J36" s="47" t="n"/>
      <c r="K36" s="44">
        <f>IF(COUNTA(H36:J36)=0, "", IF(COUNTIF(H36:J36, "Đã hoàn thành (Đạt chuẩn)")=3, "ĐỦ 3 TRỤC (100%)", IF(COUNTIF(H36:J36, "Chưa triển khai")=3, "CHƯA GẮN (0%)", "THIẾU / CHƯA ĐẠT (" &amp; COUNTIF(H36:J36, "Đã hoàn thành (Đạt chuẩn)") &amp; "/3)")))</f>
        <v/>
      </c>
      <c r="L36" s="47" t="n"/>
      <c r="M36" s="47" t="n"/>
      <c r="N36" s="47" t="n"/>
      <c r="O36" s="44">
        <f>IF(COUNTA(L36:N36)=0, "", IF(COUNTIF(L36:N36, "Đã có (Đạt chuẩn)")=3, "ĐỦ 3 LEVEL DASHBOARD", IF(COUNTIF(L36:N36, "Chưa có")=3, "CHƯA CÓ DASHBOARD", "THIẾU DASHBOARD (" &amp; COUNTIF(L36:N36, "Đã có (Đạt chuẩn)") &amp; "/3)")))</f>
        <v/>
      </c>
      <c r="P36" s="47" t="n"/>
      <c r="Q36" s="47" t="n"/>
      <c r="R36" s="44">
        <f>IF(C36="", "", IF(P36="Đẩy thẳng Kafka / ES (Vi phạm BLOCKER)", "VI PHẠM (BLOCKER)", IF(AND(K36="ĐỦ 3 TRỤC (100%)", O36="ĐỦ 3 LEVEL DASHBOARD", P36="Qua OTel Collector (Đúng chuẩn)"), "ĐẠT CHUẨN QG2 (PASS)", IF(AND(K36="CHƯA GẮN (0%)", O36="CHƯA CÓ DASHBOARD"), "CHƯA TRIỂN KHAI", "ĐANG HOÀN THIỆN (PENDING)"))))</f>
        <v/>
      </c>
      <c r="S36" s="45" t="n"/>
      <c r="T36" s="45" t="n"/>
      <c r="U36" s="47" t="n"/>
      <c r="V36" s="45" t="n"/>
    </row>
    <row r="37" ht="24" customHeight="1">
      <c r="A37" s="44">
        <f>IF(COUNTA(B37:C37)=0, "", COUNTA($C$6:C37))</f>
        <v/>
      </c>
      <c r="B37" s="24" t="n"/>
      <c r="C37" s="48" t="n"/>
      <c r="D37" s="25" t="n"/>
      <c r="E37" s="25" t="n"/>
      <c r="F37" s="44">
        <f>IF(E37="", "", IF(OR(E37=".NET 8 (SDK v1.5+ hỗ trợ chính thức)", E37=".NET 6 / .NET 7 (SDK v1.5+ hỗ trợ chính thức)"), "Hỗ trợ chuẩn SDK (.NET 6/7/8)", "Ngoài phạm vi SDK (Dùng OTel Native)"))</f>
        <v/>
      </c>
      <c r="G37" s="25" t="n"/>
      <c r="H37" s="25" t="n"/>
      <c r="I37" s="25" t="n"/>
      <c r="J37" s="25" t="n"/>
      <c r="K37" s="44">
        <f>IF(COUNTA(H37:J37)=0, "", IF(COUNTIF(H37:J37, "Đã hoàn thành (Đạt chuẩn)")=3, "ĐỦ 3 TRỤC (100%)", IF(COUNTIF(H37:J37, "Chưa triển khai")=3, "CHƯA GẮN (0%)", "THIẾU / CHƯA ĐẠT (" &amp; COUNTIF(H37:J37, "Đã hoàn thành (Đạt chuẩn)") &amp; "/3)")))</f>
        <v/>
      </c>
      <c r="L37" s="25" t="n"/>
      <c r="M37" s="25" t="n"/>
      <c r="N37" s="25" t="n"/>
      <c r="O37" s="44">
        <f>IF(COUNTA(L37:N37)=0, "", IF(COUNTIF(L37:N37, "Đã có (Đạt chuẩn)")=3, "ĐỦ 3 LEVEL DASHBOARD", IF(COUNTIF(L37:N37, "Chưa có")=3, "CHƯA CÓ DASHBOARD", "THIẾU DASHBOARD (" &amp; COUNTIF(L37:N37, "Đã có (Đạt chuẩn)") &amp; "/3)")))</f>
        <v/>
      </c>
      <c r="P37" s="25" t="n"/>
      <c r="Q37" s="25" t="n"/>
      <c r="R37" s="44">
        <f>IF(C37="", "", IF(P37="Đẩy thẳng Kafka / ES (Vi phạm BLOCKER)", "VI PHẠM (BLOCKER)", IF(AND(K37="ĐỦ 3 TRỤC (100%)", O37="ĐỦ 3 LEVEL DASHBOARD", P37="Qua OTel Collector (Đúng chuẩn)"), "ĐẠT CHUẨN QG2 (PASS)", IF(AND(K37="CHƯA GẮN (0%)", O37="CHƯA CÓ DASHBOARD"), "CHƯA TRIỂN KHAI", "ĐANG HOÀN THIỆN (PENDING)"))))</f>
        <v/>
      </c>
      <c r="S37" s="24" t="n"/>
      <c r="T37" s="24" t="n"/>
      <c r="U37" s="25" t="n"/>
      <c r="V37" s="24" t="n"/>
    </row>
    <row r="38" ht="24" customHeight="1">
      <c r="A38" s="44">
        <f>IF(COUNTA(B38:C38)=0, "", COUNTA($C$6:C38))</f>
        <v/>
      </c>
      <c r="B38" s="45" t="n"/>
      <c r="C38" s="46" t="n"/>
      <c r="D38" s="47" t="n"/>
      <c r="E38" s="47" t="n"/>
      <c r="F38" s="44">
        <f>IF(E38="", "", IF(OR(E38=".NET 8 (SDK v1.5+ hỗ trợ chính thức)", E38=".NET 6 / .NET 7 (SDK v1.5+ hỗ trợ chính thức)"), "Hỗ trợ chuẩn SDK (.NET 6/7/8)", "Ngoài phạm vi SDK (Dùng OTel Native)"))</f>
        <v/>
      </c>
      <c r="G38" s="47" t="n"/>
      <c r="H38" s="47" t="n"/>
      <c r="I38" s="47" t="n"/>
      <c r="J38" s="47" t="n"/>
      <c r="K38" s="44">
        <f>IF(COUNTA(H38:J38)=0, "", IF(COUNTIF(H38:J38, "Đã hoàn thành (Đạt chuẩn)")=3, "ĐỦ 3 TRỤC (100%)", IF(COUNTIF(H38:J38, "Chưa triển khai")=3, "CHƯA GẮN (0%)", "THIẾU / CHƯA ĐẠT (" &amp; COUNTIF(H38:J38, "Đã hoàn thành (Đạt chuẩn)") &amp; "/3)")))</f>
        <v/>
      </c>
      <c r="L38" s="47" t="n"/>
      <c r="M38" s="47" t="n"/>
      <c r="N38" s="47" t="n"/>
      <c r="O38" s="44">
        <f>IF(COUNTA(L38:N38)=0, "", IF(COUNTIF(L38:N38, "Đã có (Đạt chuẩn)")=3, "ĐỦ 3 LEVEL DASHBOARD", IF(COUNTIF(L38:N38, "Chưa có")=3, "CHƯA CÓ DASHBOARD", "THIẾU DASHBOARD (" &amp; COUNTIF(L38:N38, "Đã có (Đạt chuẩn)") &amp; "/3)")))</f>
        <v/>
      </c>
      <c r="P38" s="47" t="n"/>
      <c r="Q38" s="47" t="n"/>
      <c r="R38" s="44">
        <f>IF(C38="", "", IF(P38="Đẩy thẳng Kafka / ES (Vi phạm BLOCKER)", "VI PHẠM (BLOCKER)", IF(AND(K38="ĐỦ 3 TRỤC (100%)", O38="ĐỦ 3 LEVEL DASHBOARD", P38="Qua OTel Collector (Đúng chuẩn)"), "ĐẠT CHUẨN QG2 (PASS)", IF(AND(K38="CHƯA GẮN (0%)", O38="CHƯA CÓ DASHBOARD"), "CHƯA TRIỂN KHAI", "ĐANG HOÀN THIỆN (PENDING)"))))</f>
        <v/>
      </c>
      <c r="S38" s="45" t="n"/>
      <c r="T38" s="45" t="n"/>
      <c r="U38" s="47" t="n"/>
      <c r="V38" s="45" t="n"/>
    </row>
    <row r="39" ht="24" customHeight="1">
      <c r="A39" s="44">
        <f>IF(COUNTA(B39:C39)=0, "", COUNTA($C$6:C39))</f>
        <v/>
      </c>
      <c r="B39" s="24" t="n"/>
      <c r="C39" s="48" t="n"/>
      <c r="D39" s="25" t="n"/>
      <c r="E39" s="25" t="n"/>
      <c r="F39" s="44">
        <f>IF(E39="", "", IF(OR(E39=".NET 8 (SDK v1.5+ hỗ trợ chính thức)", E39=".NET 6 / .NET 7 (SDK v1.5+ hỗ trợ chính thức)"), "Hỗ trợ chuẩn SDK (.NET 6/7/8)", "Ngoài phạm vi SDK (Dùng OTel Native)"))</f>
        <v/>
      </c>
      <c r="G39" s="25" t="n"/>
      <c r="H39" s="25" t="n"/>
      <c r="I39" s="25" t="n"/>
      <c r="J39" s="25" t="n"/>
      <c r="K39" s="44">
        <f>IF(COUNTA(H39:J39)=0, "", IF(COUNTIF(H39:J39, "Đã hoàn thành (Đạt chuẩn)")=3, "ĐỦ 3 TRỤC (100%)", IF(COUNTIF(H39:J39, "Chưa triển khai")=3, "CHƯA GẮN (0%)", "THIẾU / CHƯA ĐẠT (" &amp; COUNTIF(H39:J39, "Đã hoàn thành (Đạt chuẩn)") &amp; "/3)")))</f>
        <v/>
      </c>
      <c r="L39" s="25" t="n"/>
      <c r="M39" s="25" t="n"/>
      <c r="N39" s="25" t="n"/>
      <c r="O39" s="44">
        <f>IF(COUNTA(L39:N39)=0, "", IF(COUNTIF(L39:N39, "Đã có (Đạt chuẩn)")=3, "ĐỦ 3 LEVEL DASHBOARD", IF(COUNTIF(L39:N39, "Chưa có")=3, "CHƯA CÓ DASHBOARD", "THIẾU DASHBOARD (" &amp; COUNTIF(L39:N39, "Đã có (Đạt chuẩn)") &amp; "/3)")))</f>
        <v/>
      </c>
      <c r="P39" s="25" t="n"/>
      <c r="Q39" s="25" t="n"/>
      <c r="R39" s="44">
        <f>IF(C39="", "", IF(P39="Đẩy thẳng Kafka / ES (Vi phạm BLOCKER)", "VI PHẠM (BLOCKER)", IF(AND(K39="ĐỦ 3 TRỤC (100%)", O39="ĐỦ 3 LEVEL DASHBOARD", P39="Qua OTel Collector (Đúng chuẩn)"), "ĐẠT CHUẨN QG2 (PASS)", IF(AND(K39="CHƯA GẮN (0%)", O39="CHƯA CÓ DASHBOARD"), "CHƯA TRIỂN KHAI", "ĐANG HOÀN THIỆN (PENDING)"))))</f>
        <v/>
      </c>
      <c r="S39" s="24" t="n"/>
      <c r="T39" s="24" t="n"/>
      <c r="U39" s="25" t="n"/>
      <c r="V39" s="24" t="n"/>
    </row>
    <row r="40" ht="24" customHeight="1">
      <c r="A40" s="44">
        <f>IF(COUNTA(B40:C40)=0, "", COUNTA($C$6:C40))</f>
        <v/>
      </c>
      <c r="B40" s="45" t="n"/>
      <c r="C40" s="46" t="n"/>
      <c r="D40" s="47" t="n"/>
      <c r="E40" s="47" t="n"/>
      <c r="F40" s="44">
        <f>IF(E40="", "", IF(OR(E40=".NET 8 (SDK v1.5+ hỗ trợ chính thức)", E40=".NET 6 / .NET 7 (SDK v1.5+ hỗ trợ chính thức)"), "Hỗ trợ chuẩn SDK (.NET 6/7/8)", "Ngoài phạm vi SDK (Dùng OTel Native)"))</f>
        <v/>
      </c>
      <c r="G40" s="47" t="n"/>
      <c r="H40" s="47" t="n"/>
      <c r="I40" s="47" t="n"/>
      <c r="J40" s="47" t="n"/>
      <c r="K40" s="44">
        <f>IF(COUNTA(H40:J40)=0, "", IF(COUNTIF(H40:J40, "Đã hoàn thành (Đạt chuẩn)")=3, "ĐỦ 3 TRỤC (100%)", IF(COUNTIF(H40:J40, "Chưa triển khai")=3, "CHƯA GẮN (0%)", "THIẾU / CHƯA ĐẠT (" &amp; COUNTIF(H40:J40, "Đã hoàn thành (Đạt chuẩn)") &amp; "/3)")))</f>
        <v/>
      </c>
      <c r="L40" s="47" t="n"/>
      <c r="M40" s="47" t="n"/>
      <c r="N40" s="47" t="n"/>
      <c r="O40" s="44">
        <f>IF(COUNTA(L40:N40)=0, "", IF(COUNTIF(L40:N40, "Đã có (Đạt chuẩn)")=3, "ĐỦ 3 LEVEL DASHBOARD", IF(COUNTIF(L40:N40, "Chưa có")=3, "CHƯA CÓ DASHBOARD", "THIẾU DASHBOARD (" &amp; COUNTIF(L40:N40, "Đã có (Đạt chuẩn)") &amp; "/3)")))</f>
        <v/>
      </c>
      <c r="P40" s="47" t="n"/>
      <c r="Q40" s="47" t="n"/>
      <c r="R40" s="44">
        <f>IF(C40="", "", IF(P40="Đẩy thẳng Kafka / ES (Vi phạm BLOCKER)", "VI PHẠM (BLOCKER)", IF(AND(K40="ĐỦ 3 TRỤC (100%)", O40="ĐỦ 3 LEVEL DASHBOARD", P40="Qua OTel Collector (Đúng chuẩn)"), "ĐẠT CHUẨN QG2 (PASS)", IF(AND(K40="CHƯA GẮN (0%)", O40="CHƯA CÓ DASHBOARD"), "CHƯA TRIỂN KHAI", "ĐANG HOÀN THIỆN (PENDING)"))))</f>
        <v/>
      </c>
      <c r="S40" s="45" t="n"/>
      <c r="T40" s="45" t="n"/>
      <c r="U40" s="47" t="n"/>
      <c r="V40" s="45" t="n"/>
    </row>
    <row r="41" ht="24" customHeight="1">
      <c r="A41" s="44">
        <f>IF(COUNTA(B41:C41)=0, "", COUNTA($C$6:C41))</f>
        <v/>
      </c>
      <c r="B41" s="24" t="n"/>
      <c r="C41" s="48" t="n"/>
      <c r="D41" s="25" t="n"/>
      <c r="E41" s="25" t="n"/>
      <c r="F41" s="44">
        <f>IF(E41="", "", IF(OR(E41=".NET 8 (SDK v1.5+ hỗ trợ chính thức)", E41=".NET 6 / .NET 7 (SDK v1.5+ hỗ trợ chính thức)"), "Hỗ trợ chuẩn SDK (.NET 6/7/8)", "Ngoài phạm vi SDK (Dùng OTel Native)"))</f>
        <v/>
      </c>
      <c r="G41" s="25" t="n"/>
      <c r="H41" s="25" t="n"/>
      <c r="I41" s="25" t="n"/>
      <c r="J41" s="25" t="n"/>
      <c r="K41" s="44">
        <f>IF(COUNTA(H41:J41)=0, "", IF(COUNTIF(H41:J41, "Đã hoàn thành (Đạt chuẩn)")=3, "ĐỦ 3 TRỤC (100%)", IF(COUNTIF(H41:J41, "Chưa triển khai")=3, "CHƯA GẮN (0%)", "THIẾU / CHƯA ĐẠT (" &amp; COUNTIF(H41:J41, "Đã hoàn thành (Đạt chuẩn)") &amp; "/3)")))</f>
        <v/>
      </c>
      <c r="L41" s="25" t="n"/>
      <c r="M41" s="25" t="n"/>
      <c r="N41" s="25" t="n"/>
      <c r="O41" s="44">
        <f>IF(COUNTA(L41:N41)=0, "", IF(COUNTIF(L41:N41, "Đã có (Đạt chuẩn)")=3, "ĐỦ 3 LEVEL DASHBOARD", IF(COUNTIF(L41:N41, "Chưa có")=3, "CHƯA CÓ DASHBOARD", "THIẾU DASHBOARD (" &amp; COUNTIF(L41:N41, "Đã có (Đạt chuẩn)") &amp; "/3)")))</f>
        <v/>
      </c>
      <c r="P41" s="25" t="n"/>
      <c r="Q41" s="25" t="n"/>
      <c r="R41" s="44">
        <f>IF(C41="", "", IF(P41="Đẩy thẳng Kafka / ES (Vi phạm BLOCKER)", "VI PHẠM (BLOCKER)", IF(AND(K41="ĐỦ 3 TRỤC (100%)", O41="ĐỦ 3 LEVEL DASHBOARD", P41="Qua OTel Collector (Đúng chuẩn)"), "ĐẠT CHUẨN QG2 (PASS)", IF(AND(K41="CHƯA GẮN (0%)", O41="CHƯA CÓ DASHBOARD"), "CHƯA TRIỂN KHAI", "ĐANG HOÀN THIỆN (PENDING)"))))</f>
        <v/>
      </c>
      <c r="S41" s="24" t="n"/>
      <c r="T41" s="24" t="n"/>
      <c r="U41" s="25" t="n"/>
      <c r="V41" s="24" t="n"/>
    </row>
    <row r="42" ht="24" customHeight="1">
      <c r="A42" s="44">
        <f>IF(COUNTA(B42:C42)=0, "", COUNTA($C$6:C42))</f>
        <v/>
      </c>
      <c r="B42" s="45" t="n"/>
      <c r="C42" s="46" t="n"/>
      <c r="D42" s="47" t="n"/>
      <c r="E42" s="47" t="n"/>
      <c r="F42" s="44">
        <f>IF(E42="", "", IF(OR(E42=".NET 8 (SDK v1.5+ hỗ trợ chính thức)", E42=".NET 6 / .NET 7 (SDK v1.5+ hỗ trợ chính thức)"), "Hỗ trợ chuẩn SDK (.NET 6/7/8)", "Ngoài phạm vi SDK (Dùng OTel Native)"))</f>
        <v/>
      </c>
      <c r="G42" s="47" t="n"/>
      <c r="H42" s="47" t="n"/>
      <c r="I42" s="47" t="n"/>
      <c r="J42" s="47" t="n"/>
      <c r="K42" s="44">
        <f>IF(COUNTA(H42:J42)=0, "", IF(COUNTIF(H42:J42, "Đã hoàn thành (Đạt chuẩn)")=3, "ĐỦ 3 TRỤC (100%)", IF(COUNTIF(H42:J42, "Chưa triển khai")=3, "CHƯA GẮN (0%)", "THIẾU / CHƯA ĐẠT (" &amp; COUNTIF(H42:J42, "Đã hoàn thành (Đạt chuẩn)") &amp; "/3)")))</f>
        <v/>
      </c>
      <c r="L42" s="47" t="n"/>
      <c r="M42" s="47" t="n"/>
      <c r="N42" s="47" t="n"/>
      <c r="O42" s="44">
        <f>IF(COUNTA(L42:N42)=0, "", IF(COUNTIF(L42:N42, "Đã có (Đạt chuẩn)")=3, "ĐỦ 3 LEVEL DASHBOARD", IF(COUNTIF(L42:N42, "Chưa có")=3, "CHƯA CÓ DASHBOARD", "THIẾU DASHBOARD (" &amp; COUNTIF(L42:N42, "Đã có (Đạt chuẩn)") &amp; "/3)")))</f>
        <v/>
      </c>
      <c r="P42" s="47" t="n"/>
      <c r="Q42" s="47" t="n"/>
      <c r="R42" s="44">
        <f>IF(C42="", "", IF(P42="Đẩy thẳng Kafka / ES (Vi phạm BLOCKER)", "VI PHẠM (BLOCKER)", IF(AND(K42="ĐỦ 3 TRỤC (100%)", O42="ĐỦ 3 LEVEL DASHBOARD", P42="Qua OTel Collector (Đúng chuẩn)"), "ĐẠT CHUẨN QG2 (PASS)", IF(AND(K42="CHƯA GẮN (0%)", O42="CHƯA CÓ DASHBOARD"), "CHƯA TRIỂN KHAI", "ĐANG HOÀN THIỆN (PENDING)"))))</f>
        <v/>
      </c>
      <c r="S42" s="45" t="n"/>
      <c r="T42" s="45" t="n"/>
      <c r="U42" s="47" t="n"/>
      <c r="V42" s="45" t="n"/>
    </row>
    <row r="43" ht="24" customHeight="1">
      <c r="A43" s="44">
        <f>IF(COUNTA(B43:C43)=0, "", COUNTA($C$6:C43))</f>
        <v/>
      </c>
      <c r="B43" s="24" t="n"/>
      <c r="C43" s="48" t="n"/>
      <c r="D43" s="25" t="n"/>
      <c r="E43" s="25" t="n"/>
      <c r="F43" s="44">
        <f>IF(E43="", "", IF(OR(E43=".NET 8 (SDK v1.5+ hỗ trợ chính thức)", E43=".NET 6 / .NET 7 (SDK v1.5+ hỗ trợ chính thức)"), "Hỗ trợ chuẩn SDK (.NET 6/7/8)", "Ngoài phạm vi SDK (Dùng OTel Native)"))</f>
        <v/>
      </c>
      <c r="G43" s="25" t="n"/>
      <c r="H43" s="25" t="n"/>
      <c r="I43" s="25" t="n"/>
      <c r="J43" s="25" t="n"/>
      <c r="K43" s="44">
        <f>IF(COUNTA(H43:J43)=0, "", IF(COUNTIF(H43:J43, "Đã hoàn thành (Đạt chuẩn)")=3, "ĐỦ 3 TRỤC (100%)", IF(COUNTIF(H43:J43, "Chưa triển khai")=3, "CHƯA GẮN (0%)", "THIẾU / CHƯA ĐẠT (" &amp; COUNTIF(H43:J43, "Đã hoàn thành (Đạt chuẩn)") &amp; "/3)")))</f>
        <v/>
      </c>
      <c r="L43" s="25" t="n"/>
      <c r="M43" s="25" t="n"/>
      <c r="N43" s="25" t="n"/>
      <c r="O43" s="44">
        <f>IF(COUNTA(L43:N43)=0, "", IF(COUNTIF(L43:N43, "Đã có (Đạt chuẩn)")=3, "ĐỦ 3 LEVEL DASHBOARD", IF(COUNTIF(L43:N43, "Chưa có")=3, "CHƯA CÓ DASHBOARD", "THIẾU DASHBOARD (" &amp; COUNTIF(L43:N43, "Đã có (Đạt chuẩn)") &amp; "/3)")))</f>
        <v/>
      </c>
      <c r="P43" s="25" t="n"/>
      <c r="Q43" s="25" t="n"/>
      <c r="R43" s="44">
        <f>IF(C43="", "", IF(P43="Đẩy thẳng Kafka / ES (Vi phạm BLOCKER)", "VI PHẠM (BLOCKER)", IF(AND(K43="ĐỦ 3 TRỤC (100%)", O43="ĐỦ 3 LEVEL DASHBOARD", P43="Qua OTel Collector (Đúng chuẩn)"), "ĐẠT CHUẨN QG2 (PASS)", IF(AND(K43="CHƯA GẮN (0%)", O43="CHƯA CÓ DASHBOARD"), "CHƯA TRIỂN KHAI", "ĐANG HOÀN THIỆN (PENDING)"))))</f>
        <v/>
      </c>
      <c r="S43" s="24" t="n"/>
      <c r="T43" s="24" t="n"/>
      <c r="U43" s="25" t="n"/>
      <c r="V43" s="24" t="n"/>
    </row>
    <row r="44" ht="24" customHeight="1">
      <c r="A44" s="44">
        <f>IF(COUNTA(B44:C44)=0, "", COUNTA($C$6:C44))</f>
        <v/>
      </c>
      <c r="B44" s="45" t="n"/>
      <c r="C44" s="46" t="n"/>
      <c r="D44" s="47" t="n"/>
      <c r="E44" s="47" t="n"/>
      <c r="F44" s="44">
        <f>IF(E44="", "", IF(OR(E44=".NET 8 (SDK v1.5+ hỗ trợ chính thức)", E44=".NET 6 / .NET 7 (SDK v1.5+ hỗ trợ chính thức)"), "Hỗ trợ chuẩn SDK (.NET 6/7/8)", "Ngoài phạm vi SDK (Dùng OTel Native)"))</f>
        <v/>
      </c>
      <c r="G44" s="47" t="n"/>
      <c r="H44" s="47" t="n"/>
      <c r="I44" s="47" t="n"/>
      <c r="J44" s="47" t="n"/>
      <c r="K44" s="44">
        <f>IF(COUNTA(H44:J44)=0, "", IF(COUNTIF(H44:J44, "Đã hoàn thành (Đạt chuẩn)")=3, "ĐỦ 3 TRỤC (100%)", IF(COUNTIF(H44:J44, "Chưa triển khai")=3, "CHƯA GẮN (0%)", "THIẾU / CHƯA ĐẠT (" &amp; COUNTIF(H44:J44, "Đã hoàn thành (Đạt chuẩn)") &amp; "/3)")))</f>
        <v/>
      </c>
      <c r="L44" s="47" t="n"/>
      <c r="M44" s="47" t="n"/>
      <c r="N44" s="47" t="n"/>
      <c r="O44" s="44">
        <f>IF(COUNTA(L44:N44)=0, "", IF(COUNTIF(L44:N44, "Đã có (Đạt chuẩn)")=3, "ĐỦ 3 LEVEL DASHBOARD", IF(COUNTIF(L44:N44, "Chưa có")=3, "CHƯA CÓ DASHBOARD", "THIẾU DASHBOARD (" &amp; COUNTIF(L44:N44, "Đã có (Đạt chuẩn)") &amp; "/3)")))</f>
        <v/>
      </c>
      <c r="P44" s="47" t="n"/>
      <c r="Q44" s="47" t="n"/>
      <c r="R44" s="44">
        <f>IF(C44="", "", IF(P44="Đẩy thẳng Kafka / ES (Vi phạm BLOCKER)", "VI PHẠM (BLOCKER)", IF(AND(K44="ĐỦ 3 TRỤC (100%)", O44="ĐỦ 3 LEVEL DASHBOARD", P44="Qua OTel Collector (Đúng chuẩn)"), "ĐẠT CHUẨN QG2 (PASS)", IF(AND(K44="CHƯA GẮN (0%)", O44="CHƯA CÓ DASHBOARD"), "CHƯA TRIỂN KHAI", "ĐANG HOÀN THIỆN (PENDING)"))))</f>
        <v/>
      </c>
      <c r="S44" s="45" t="n"/>
      <c r="T44" s="45" t="n"/>
      <c r="U44" s="47" t="n"/>
      <c r="V44" s="45" t="n"/>
    </row>
    <row r="45" ht="24" customHeight="1">
      <c r="A45" s="44">
        <f>IF(COUNTA(B45:C45)=0, "", COUNTA($C$6:C45))</f>
        <v/>
      </c>
      <c r="B45" s="24" t="n"/>
      <c r="C45" s="48" t="n"/>
      <c r="D45" s="25" t="n"/>
      <c r="E45" s="25" t="n"/>
      <c r="F45" s="44">
        <f>IF(E45="", "", IF(OR(E45=".NET 8 (SDK v1.5+ hỗ trợ chính thức)", E45=".NET 6 / .NET 7 (SDK v1.5+ hỗ trợ chính thức)"), "Hỗ trợ chuẩn SDK (.NET 6/7/8)", "Ngoài phạm vi SDK (Dùng OTel Native)"))</f>
        <v/>
      </c>
      <c r="G45" s="25" t="n"/>
      <c r="H45" s="25" t="n"/>
      <c r="I45" s="25" t="n"/>
      <c r="J45" s="25" t="n"/>
      <c r="K45" s="44">
        <f>IF(COUNTA(H45:J45)=0, "", IF(COUNTIF(H45:J45, "Đã hoàn thành (Đạt chuẩn)")=3, "ĐỦ 3 TRỤC (100%)", IF(COUNTIF(H45:J45, "Chưa triển khai")=3, "CHƯA GẮN (0%)", "THIẾU / CHƯA ĐẠT (" &amp; COUNTIF(H45:J45, "Đã hoàn thành (Đạt chuẩn)") &amp; "/3)")))</f>
        <v/>
      </c>
      <c r="L45" s="25" t="n"/>
      <c r="M45" s="25" t="n"/>
      <c r="N45" s="25" t="n"/>
      <c r="O45" s="44">
        <f>IF(COUNTA(L45:N45)=0, "", IF(COUNTIF(L45:N45, "Đã có (Đạt chuẩn)")=3, "ĐỦ 3 LEVEL DASHBOARD", IF(COUNTIF(L45:N45, "Chưa có")=3, "CHƯA CÓ DASHBOARD", "THIẾU DASHBOARD (" &amp; COUNTIF(L45:N45, "Đã có (Đạt chuẩn)") &amp; "/3)")))</f>
        <v/>
      </c>
      <c r="P45" s="25" t="n"/>
      <c r="Q45" s="25" t="n"/>
      <c r="R45" s="44">
        <f>IF(C45="", "", IF(P45="Đẩy thẳng Kafka / ES (Vi phạm BLOCKER)", "VI PHẠM (BLOCKER)", IF(AND(K45="ĐỦ 3 TRỤC (100%)", O45="ĐỦ 3 LEVEL DASHBOARD", P45="Qua OTel Collector (Đúng chuẩn)"), "ĐẠT CHUẨN QG2 (PASS)", IF(AND(K45="CHƯA GẮN (0%)", O45="CHƯA CÓ DASHBOARD"), "CHƯA TRIỂN KHAI", "ĐANG HOÀN THIỆN (PENDING)"))))</f>
        <v/>
      </c>
      <c r="S45" s="24" t="n"/>
      <c r="T45" s="24" t="n"/>
      <c r="U45" s="25" t="n"/>
      <c r="V45" s="24" t="n"/>
    </row>
    <row r="46" ht="24" customHeight="1">
      <c r="A46" s="44">
        <f>IF(COUNTA(B46:C46)=0, "", COUNTA($C$6:C46))</f>
        <v/>
      </c>
      <c r="B46" s="45" t="n"/>
      <c r="C46" s="46" t="n"/>
      <c r="D46" s="47" t="n"/>
      <c r="E46" s="47" t="n"/>
      <c r="F46" s="44">
        <f>IF(E46="", "", IF(OR(E46=".NET 8 (SDK v1.5+ hỗ trợ chính thức)", E46=".NET 6 / .NET 7 (SDK v1.5+ hỗ trợ chính thức)"), "Hỗ trợ chuẩn SDK (.NET 6/7/8)", "Ngoài phạm vi SDK (Dùng OTel Native)"))</f>
        <v/>
      </c>
      <c r="G46" s="47" t="n"/>
      <c r="H46" s="47" t="n"/>
      <c r="I46" s="47" t="n"/>
      <c r="J46" s="47" t="n"/>
      <c r="K46" s="44">
        <f>IF(COUNTA(H46:J46)=0, "", IF(COUNTIF(H46:J46, "Đã hoàn thành (Đạt chuẩn)")=3, "ĐỦ 3 TRỤC (100%)", IF(COUNTIF(H46:J46, "Chưa triển khai")=3, "CHƯA GẮN (0%)", "THIẾU / CHƯA ĐẠT (" &amp; COUNTIF(H46:J46, "Đã hoàn thành (Đạt chuẩn)") &amp; "/3)")))</f>
        <v/>
      </c>
      <c r="L46" s="47" t="n"/>
      <c r="M46" s="47" t="n"/>
      <c r="N46" s="47" t="n"/>
      <c r="O46" s="44">
        <f>IF(COUNTA(L46:N46)=0, "", IF(COUNTIF(L46:N46, "Đã có (Đạt chuẩn)")=3, "ĐỦ 3 LEVEL DASHBOARD", IF(COUNTIF(L46:N46, "Chưa có")=3, "CHƯA CÓ DASHBOARD", "THIẾU DASHBOARD (" &amp; COUNTIF(L46:N46, "Đã có (Đạt chuẩn)") &amp; "/3)")))</f>
        <v/>
      </c>
      <c r="P46" s="47" t="n"/>
      <c r="Q46" s="47" t="n"/>
      <c r="R46" s="44">
        <f>IF(C46="", "", IF(P46="Đẩy thẳng Kafka / ES (Vi phạm BLOCKER)", "VI PHẠM (BLOCKER)", IF(AND(K46="ĐỦ 3 TRỤC (100%)", O46="ĐỦ 3 LEVEL DASHBOARD", P46="Qua OTel Collector (Đúng chuẩn)"), "ĐẠT CHUẨN QG2 (PASS)", IF(AND(K46="CHƯA GẮN (0%)", O46="CHƯA CÓ DASHBOARD"), "CHƯA TRIỂN KHAI", "ĐANG HOÀN THIỆN (PENDING)"))))</f>
        <v/>
      </c>
      <c r="S46" s="45" t="n"/>
      <c r="T46" s="45" t="n"/>
      <c r="U46" s="47" t="n"/>
      <c r="V46" s="45" t="n"/>
    </row>
    <row r="47" ht="24" customHeight="1">
      <c r="A47" s="44">
        <f>IF(COUNTA(B47:C47)=0, "", COUNTA($C$6:C47))</f>
        <v/>
      </c>
      <c r="B47" s="24" t="n"/>
      <c r="C47" s="48" t="n"/>
      <c r="D47" s="25" t="n"/>
      <c r="E47" s="25" t="n"/>
      <c r="F47" s="44">
        <f>IF(E47="", "", IF(OR(E47=".NET 8 (SDK v1.5+ hỗ trợ chính thức)", E47=".NET 6 / .NET 7 (SDK v1.5+ hỗ trợ chính thức)"), "Hỗ trợ chuẩn SDK (.NET 6/7/8)", "Ngoài phạm vi SDK (Dùng OTel Native)"))</f>
        <v/>
      </c>
      <c r="G47" s="25" t="n"/>
      <c r="H47" s="25" t="n"/>
      <c r="I47" s="25" t="n"/>
      <c r="J47" s="25" t="n"/>
      <c r="K47" s="44">
        <f>IF(COUNTA(H47:J47)=0, "", IF(COUNTIF(H47:J47, "Đã hoàn thành (Đạt chuẩn)")=3, "ĐỦ 3 TRỤC (100%)", IF(COUNTIF(H47:J47, "Chưa triển khai")=3, "CHƯA GẮN (0%)", "THIẾU / CHƯA ĐẠT (" &amp; COUNTIF(H47:J47, "Đã hoàn thành (Đạt chuẩn)") &amp; "/3)")))</f>
        <v/>
      </c>
      <c r="L47" s="25" t="n"/>
      <c r="M47" s="25" t="n"/>
      <c r="N47" s="25" t="n"/>
      <c r="O47" s="44">
        <f>IF(COUNTA(L47:N47)=0, "", IF(COUNTIF(L47:N47, "Đã có (Đạt chuẩn)")=3, "ĐỦ 3 LEVEL DASHBOARD", IF(COUNTIF(L47:N47, "Chưa có")=3, "CHƯA CÓ DASHBOARD", "THIẾU DASHBOARD (" &amp; COUNTIF(L47:N47, "Đã có (Đạt chuẩn)") &amp; "/3)")))</f>
        <v/>
      </c>
      <c r="P47" s="25" t="n"/>
      <c r="Q47" s="25" t="n"/>
      <c r="R47" s="44">
        <f>IF(C47="", "", IF(P47="Đẩy thẳng Kafka / ES (Vi phạm BLOCKER)", "VI PHẠM (BLOCKER)", IF(AND(K47="ĐỦ 3 TRỤC (100%)", O47="ĐỦ 3 LEVEL DASHBOARD", P47="Qua OTel Collector (Đúng chuẩn)"), "ĐẠT CHUẨN QG2 (PASS)", IF(AND(K47="CHƯA GẮN (0%)", O47="CHƯA CÓ DASHBOARD"), "CHƯA TRIỂN KHAI", "ĐANG HOÀN THIỆN (PENDING)"))))</f>
        <v/>
      </c>
      <c r="S47" s="24" t="n"/>
      <c r="T47" s="24" t="n"/>
      <c r="U47" s="25" t="n"/>
      <c r="V47" s="24" t="n"/>
    </row>
    <row r="48" ht="24" customHeight="1">
      <c r="A48" s="44">
        <f>IF(COUNTA(B48:C48)=0, "", COUNTA($C$6:C48))</f>
        <v/>
      </c>
      <c r="B48" s="45" t="n"/>
      <c r="C48" s="46" t="n"/>
      <c r="D48" s="47" t="n"/>
      <c r="E48" s="47" t="n"/>
      <c r="F48" s="44">
        <f>IF(E48="", "", IF(OR(E48=".NET 8 (SDK v1.5+ hỗ trợ chính thức)", E48=".NET 6 / .NET 7 (SDK v1.5+ hỗ trợ chính thức)"), "Hỗ trợ chuẩn SDK (.NET 6/7/8)", "Ngoài phạm vi SDK (Dùng OTel Native)"))</f>
        <v/>
      </c>
      <c r="G48" s="47" t="n"/>
      <c r="H48" s="47" t="n"/>
      <c r="I48" s="47" t="n"/>
      <c r="J48" s="47" t="n"/>
      <c r="K48" s="44">
        <f>IF(COUNTA(H48:J48)=0, "", IF(COUNTIF(H48:J48, "Đã hoàn thành (Đạt chuẩn)")=3, "ĐỦ 3 TRỤC (100%)", IF(COUNTIF(H48:J48, "Chưa triển khai")=3, "CHƯA GẮN (0%)", "THIẾU / CHƯA ĐẠT (" &amp; COUNTIF(H48:J48, "Đã hoàn thành (Đạt chuẩn)") &amp; "/3)")))</f>
        <v/>
      </c>
      <c r="L48" s="47" t="n"/>
      <c r="M48" s="47" t="n"/>
      <c r="N48" s="47" t="n"/>
      <c r="O48" s="44">
        <f>IF(COUNTA(L48:N48)=0, "", IF(COUNTIF(L48:N48, "Đã có (Đạt chuẩn)")=3, "ĐỦ 3 LEVEL DASHBOARD", IF(COUNTIF(L48:N48, "Chưa có")=3, "CHƯA CÓ DASHBOARD", "THIẾU DASHBOARD (" &amp; COUNTIF(L48:N48, "Đã có (Đạt chuẩn)") &amp; "/3)")))</f>
        <v/>
      </c>
      <c r="P48" s="47" t="n"/>
      <c r="Q48" s="47" t="n"/>
      <c r="R48" s="44">
        <f>IF(C48="", "", IF(P48="Đẩy thẳng Kafka / ES (Vi phạm BLOCKER)", "VI PHẠM (BLOCKER)", IF(AND(K48="ĐỦ 3 TRỤC (100%)", O48="ĐỦ 3 LEVEL DASHBOARD", P48="Qua OTel Collector (Đúng chuẩn)"), "ĐẠT CHUẨN QG2 (PASS)", IF(AND(K48="CHƯA GẮN (0%)", O48="CHƯA CÓ DASHBOARD"), "CHƯA TRIỂN KHAI", "ĐANG HOÀN THIỆN (PENDING)"))))</f>
        <v/>
      </c>
      <c r="S48" s="45" t="n"/>
      <c r="T48" s="45" t="n"/>
      <c r="U48" s="47" t="n"/>
      <c r="V48" s="45" t="n"/>
    </row>
    <row r="49" ht="24" customHeight="1">
      <c r="A49" s="44">
        <f>IF(COUNTA(B49:C49)=0, "", COUNTA($C$6:C49))</f>
        <v/>
      </c>
      <c r="B49" s="24" t="n"/>
      <c r="C49" s="48" t="n"/>
      <c r="D49" s="25" t="n"/>
      <c r="E49" s="25" t="n"/>
      <c r="F49" s="44">
        <f>IF(E49="", "", IF(OR(E49=".NET 8 (SDK v1.5+ hỗ trợ chính thức)", E49=".NET 6 / .NET 7 (SDK v1.5+ hỗ trợ chính thức)"), "Hỗ trợ chuẩn SDK (.NET 6/7/8)", "Ngoài phạm vi SDK (Dùng OTel Native)"))</f>
        <v/>
      </c>
      <c r="G49" s="25" t="n"/>
      <c r="H49" s="25" t="n"/>
      <c r="I49" s="25" t="n"/>
      <c r="J49" s="25" t="n"/>
      <c r="K49" s="44">
        <f>IF(COUNTA(H49:J49)=0, "", IF(COUNTIF(H49:J49, "Đã hoàn thành (Đạt chuẩn)")=3, "ĐỦ 3 TRỤC (100%)", IF(COUNTIF(H49:J49, "Chưa triển khai")=3, "CHƯA GẮN (0%)", "THIẾU / CHƯA ĐẠT (" &amp; COUNTIF(H49:J49, "Đã hoàn thành (Đạt chuẩn)") &amp; "/3)")))</f>
        <v/>
      </c>
      <c r="L49" s="25" t="n"/>
      <c r="M49" s="25" t="n"/>
      <c r="N49" s="25" t="n"/>
      <c r="O49" s="44">
        <f>IF(COUNTA(L49:N49)=0, "", IF(COUNTIF(L49:N49, "Đã có (Đạt chuẩn)")=3, "ĐỦ 3 LEVEL DASHBOARD", IF(COUNTIF(L49:N49, "Chưa có")=3, "CHƯA CÓ DASHBOARD", "THIẾU DASHBOARD (" &amp; COUNTIF(L49:N49, "Đã có (Đạt chuẩn)") &amp; "/3)")))</f>
        <v/>
      </c>
      <c r="P49" s="25" t="n"/>
      <c r="Q49" s="25" t="n"/>
      <c r="R49" s="44">
        <f>IF(C49="", "", IF(P49="Đẩy thẳng Kafka / ES (Vi phạm BLOCKER)", "VI PHẠM (BLOCKER)", IF(AND(K49="ĐỦ 3 TRỤC (100%)", O49="ĐỦ 3 LEVEL DASHBOARD", P49="Qua OTel Collector (Đúng chuẩn)"), "ĐẠT CHUẨN QG2 (PASS)", IF(AND(K49="CHƯA GẮN (0%)", O49="CHƯA CÓ DASHBOARD"), "CHƯA TRIỂN KHAI", "ĐANG HOÀN THIỆN (PENDING)"))))</f>
        <v/>
      </c>
      <c r="S49" s="24" t="n"/>
      <c r="T49" s="24" t="n"/>
      <c r="U49" s="25" t="n"/>
      <c r="V49" s="24" t="n"/>
    </row>
    <row r="50" ht="24" customHeight="1">
      <c r="A50" s="44">
        <f>IF(COUNTA(B50:C50)=0, "", COUNTA($C$6:C50))</f>
        <v/>
      </c>
      <c r="B50" s="45" t="n"/>
      <c r="C50" s="46" t="n"/>
      <c r="D50" s="47" t="n"/>
      <c r="E50" s="47" t="n"/>
      <c r="F50" s="44">
        <f>IF(E50="", "", IF(OR(E50=".NET 8 (SDK v1.5+ hỗ trợ chính thức)", E50=".NET 6 / .NET 7 (SDK v1.5+ hỗ trợ chính thức)"), "Hỗ trợ chuẩn SDK (.NET 6/7/8)", "Ngoài phạm vi SDK (Dùng OTel Native)"))</f>
        <v/>
      </c>
      <c r="G50" s="47" t="n"/>
      <c r="H50" s="47" t="n"/>
      <c r="I50" s="47" t="n"/>
      <c r="J50" s="47" t="n"/>
      <c r="K50" s="44">
        <f>IF(COUNTA(H50:J50)=0, "", IF(COUNTIF(H50:J50, "Đã hoàn thành (Đạt chuẩn)")=3, "ĐỦ 3 TRỤC (100%)", IF(COUNTIF(H50:J50, "Chưa triển khai")=3, "CHƯA GẮN (0%)", "THIẾU / CHƯA ĐẠT (" &amp; COUNTIF(H50:J50, "Đã hoàn thành (Đạt chuẩn)") &amp; "/3)")))</f>
        <v/>
      </c>
      <c r="L50" s="47" t="n"/>
      <c r="M50" s="47" t="n"/>
      <c r="N50" s="47" t="n"/>
      <c r="O50" s="44">
        <f>IF(COUNTA(L50:N50)=0, "", IF(COUNTIF(L50:N50, "Đã có (Đạt chuẩn)")=3, "ĐỦ 3 LEVEL DASHBOARD", IF(COUNTIF(L50:N50, "Chưa có")=3, "CHƯA CÓ DASHBOARD", "THIẾU DASHBOARD (" &amp; COUNTIF(L50:N50, "Đã có (Đạt chuẩn)") &amp; "/3)")))</f>
        <v/>
      </c>
      <c r="P50" s="47" t="n"/>
      <c r="Q50" s="47" t="n"/>
      <c r="R50" s="44">
        <f>IF(C50="", "", IF(P50="Đẩy thẳng Kafka / ES (Vi phạm BLOCKER)", "VI PHẠM (BLOCKER)", IF(AND(K50="ĐỦ 3 TRỤC (100%)", O50="ĐỦ 3 LEVEL DASHBOARD", P50="Qua OTel Collector (Đúng chuẩn)"), "ĐẠT CHUẨN QG2 (PASS)", IF(AND(K50="CHƯA GẮN (0%)", O50="CHƯA CÓ DASHBOARD"), "CHƯA TRIỂN KHAI", "ĐANG HOÀN THIỆN (PENDING)"))))</f>
        <v/>
      </c>
      <c r="S50" s="45" t="n"/>
      <c r="T50" s="45" t="n"/>
      <c r="U50" s="47" t="n"/>
      <c r="V50" s="45" t="n"/>
    </row>
    <row r="51" ht="24" customHeight="1">
      <c r="A51" s="44">
        <f>IF(COUNTA(B51:C51)=0, "", COUNTA($C$6:C51))</f>
        <v/>
      </c>
      <c r="B51" s="24" t="n"/>
      <c r="C51" s="48" t="n"/>
      <c r="D51" s="25" t="n"/>
      <c r="E51" s="25" t="n"/>
      <c r="F51" s="44">
        <f>IF(E51="", "", IF(OR(E51=".NET 8 (SDK v1.5+ hỗ trợ chính thức)", E51=".NET 6 / .NET 7 (SDK v1.5+ hỗ trợ chính thức)"), "Hỗ trợ chuẩn SDK (.NET 6/7/8)", "Ngoài phạm vi SDK (Dùng OTel Native)"))</f>
        <v/>
      </c>
      <c r="G51" s="25" t="n"/>
      <c r="H51" s="25" t="n"/>
      <c r="I51" s="25" t="n"/>
      <c r="J51" s="25" t="n"/>
      <c r="K51" s="44">
        <f>IF(COUNTA(H51:J51)=0, "", IF(COUNTIF(H51:J51, "Đã hoàn thành (Đạt chuẩn)")=3, "ĐỦ 3 TRỤC (100%)", IF(COUNTIF(H51:J51, "Chưa triển khai")=3, "CHƯA GẮN (0%)", "THIẾU / CHƯA ĐẠT (" &amp; COUNTIF(H51:J51, "Đã hoàn thành (Đạt chuẩn)") &amp; "/3)")))</f>
        <v/>
      </c>
      <c r="L51" s="25" t="n"/>
      <c r="M51" s="25" t="n"/>
      <c r="N51" s="25" t="n"/>
      <c r="O51" s="44">
        <f>IF(COUNTA(L51:N51)=0, "", IF(COUNTIF(L51:N51, "Đã có (Đạt chuẩn)")=3, "ĐỦ 3 LEVEL DASHBOARD", IF(COUNTIF(L51:N51, "Chưa có")=3, "CHƯA CÓ DASHBOARD", "THIẾU DASHBOARD (" &amp; COUNTIF(L51:N51, "Đã có (Đạt chuẩn)") &amp; "/3)")))</f>
        <v/>
      </c>
      <c r="P51" s="25" t="n"/>
      <c r="Q51" s="25" t="n"/>
      <c r="R51" s="44">
        <f>IF(C51="", "", IF(P51="Đẩy thẳng Kafka / ES (Vi phạm BLOCKER)", "VI PHẠM (BLOCKER)", IF(AND(K51="ĐỦ 3 TRỤC (100%)", O51="ĐỦ 3 LEVEL DASHBOARD", P51="Qua OTel Collector (Đúng chuẩn)"), "ĐẠT CHUẨN QG2 (PASS)", IF(AND(K51="CHƯA GẮN (0%)", O51="CHƯA CÓ DASHBOARD"), "CHƯA TRIỂN KHAI", "ĐANG HOÀN THIỆN (PENDING)"))))</f>
        <v/>
      </c>
      <c r="S51" s="24" t="n"/>
      <c r="T51" s="24" t="n"/>
      <c r="U51" s="25" t="n"/>
      <c r="V51" s="24" t="n"/>
    </row>
    <row r="52" ht="24" customHeight="1">
      <c r="A52" s="44">
        <f>IF(COUNTA(B52:C52)=0, "", COUNTA($C$6:C52))</f>
        <v/>
      </c>
      <c r="B52" s="45" t="n"/>
      <c r="C52" s="46" t="n"/>
      <c r="D52" s="47" t="n"/>
      <c r="E52" s="47" t="n"/>
      <c r="F52" s="44">
        <f>IF(E52="", "", IF(OR(E52=".NET 8 (SDK v1.5+ hỗ trợ chính thức)", E52=".NET 6 / .NET 7 (SDK v1.5+ hỗ trợ chính thức)"), "Hỗ trợ chuẩn SDK (.NET 6/7/8)", "Ngoài phạm vi SDK (Dùng OTel Native)"))</f>
        <v/>
      </c>
      <c r="G52" s="47" t="n"/>
      <c r="H52" s="47" t="n"/>
      <c r="I52" s="47" t="n"/>
      <c r="J52" s="47" t="n"/>
      <c r="K52" s="44">
        <f>IF(COUNTA(H52:J52)=0, "", IF(COUNTIF(H52:J52, "Đã hoàn thành (Đạt chuẩn)")=3, "ĐỦ 3 TRỤC (100%)", IF(COUNTIF(H52:J52, "Chưa triển khai")=3, "CHƯA GẮN (0%)", "THIẾU / CHƯA ĐẠT (" &amp; COUNTIF(H52:J52, "Đã hoàn thành (Đạt chuẩn)") &amp; "/3)")))</f>
        <v/>
      </c>
      <c r="L52" s="47" t="n"/>
      <c r="M52" s="47" t="n"/>
      <c r="N52" s="47" t="n"/>
      <c r="O52" s="44">
        <f>IF(COUNTA(L52:N52)=0, "", IF(COUNTIF(L52:N52, "Đã có (Đạt chuẩn)")=3, "ĐỦ 3 LEVEL DASHBOARD", IF(COUNTIF(L52:N52, "Chưa có")=3, "CHƯA CÓ DASHBOARD", "THIẾU DASHBOARD (" &amp; COUNTIF(L52:N52, "Đã có (Đạt chuẩn)") &amp; "/3)")))</f>
        <v/>
      </c>
      <c r="P52" s="47" t="n"/>
      <c r="Q52" s="47" t="n"/>
      <c r="R52" s="44">
        <f>IF(C52="", "", IF(P52="Đẩy thẳng Kafka / ES (Vi phạm BLOCKER)", "VI PHẠM (BLOCKER)", IF(AND(K52="ĐỦ 3 TRỤC (100%)", O52="ĐỦ 3 LEVEL DASHBOARD", P52="Qua OTel Collector (Đúng chuẩn)"), "ĐẠT CHUẨN QG2 (PASS)", IF(AND(K52="CHƯA GẮN (0%)", O52="CHƯA CÓ DASHBOARD"), "CHƯA TRIỂN KHAI", "ĐANG HOÀN THIỆN (PENDING)"))))</f>
        <v/>
      </c>
      <c r="S52" s="45" t="n"/>
      <c r="T52" s="45" t="n"/>
      <c r="U52" s="47" t="n"/>
      <c r="V52" s="45" t="n"/>
    </row>
    <row r="53" ht="24" customHeight="1">
      <c r="A53" s="44">
        <f>IF(COUNTA(B53:C53)=0, "", COUNTA($C$6:C53))</f>
        <v/>
      </c>
      <c r="B53" s="24" t="n"/>
      <c r="C53" s="48" t="n"/>
      <c r="D53" s="25" t="n"/>
      <c r="E53" s="25" t="n"/>
      <c r="F53" s="44">
        <f>IF(E53="", "", IF(OR(E53=".NET 8 (SDK v1.5+ hỗ trợ chính thức)", E53=".NET 6 / .NET 7 (SDK v1.5+ hỗ trợ chính thức)"), "Hỗ trợ chuẩn SDK (.NET 6/7/8)", "Ngoài phạm vi SDK (Dùng OTel Native)"))</f>
        <v/>
      </c>
      <c r="G53" s="25" t="n"/>
      <c r="H53" s="25" t="n"/>
      <c r="I53" s="25" t="n"/>
      <c r="J53" s="25" t="n"/>
      <c r="K53" s="44">
        <f>IF(COUNTA(H53:J53)=0, "", IF(COUNTIF(H53:J53, "Đã hoàn thành (Đạt chuẩn)")=3, "ĐỦ 3 TRỤC (100%)", IF(COUNTIF(H53:J53, "Chưa triển khai")=3, "CHƯA GẮN (0%)", "THIẾU / CHƯA ĐẠT (" &amp; COUNTIF(H53:J53, "Đã hoàn thành (Đạt chuẩn)") &amp; "/3)")))</f>
        <v/>
      </c>
      <c r="L53" s="25" t="n"/>
      <c r="M53" s="25" t="n"/>
      <c r="N53" s="25" t="n"/>
      <c r="O53" s="44">
        <f>IF(COUNTA(L53:N53)=0, "", IF(COUNTIF(L53:N53, "Đã có (Đạt chuẩn)")=3, "ĐỦ 3 LEVEL DASHBOARD", IF(COUNTIF(L53:N53, "Chưa có")=3, "CHƯA CÓ DASHBOARD", "THIẾU DASHBOARD (" &amp; COUNTIF(L53:N53, "Đã có (Đạt chuẩn)") &amp; "/3)")))</f>
        <v/>
      </c>
      <c r="P53" s="25" t="n"/>
      <c r="Q53" s="25" t="n"/>
      <c r="R53" s="44">
        <f>IF(C53="", "", IF(P53="Đẩy thẳng Kafka / ES (Vi phạm BLOCKER)", "VI PHẠM (BLOCKER)", IF(AND(K53="ĐỦ 3 TRỤC (100%)", O53="ĐỦ 3 LEVEL DASHBOARD", P53="Qua OTel Collector (Đúng chuẩn)"), "ĐẠT CHUẨN QG2 (PASS)", IF(AND(K53="CHƯA GẮN (0%)", O53="CHƯA CÓ DASHBOARD"), "CHƯA TRIỂN KHAI", "ĐANG HOÀN THIỆN (PENDING)"))))</f>
        <v/>
      </c>
      <c r="S53" s="24" t="n"/>
      <c r="T53" s="24" t="n"/>
      <c r="U53" s="25" t="n"/>
      <c r="V53" s="24" t="n"/>
    </row>
    <row r="54" ht="24" customHeight="1">
      <c r="A54" s="44">
        <f>IF(COUNTA(B54:C54)=0, "", COUNTA($C$6:C54))</f>
        <v/>
      </c>
      <c r="B54" s="45" t="n"/>
      <c r="C54" s="46" t="n"/>
      <c r="D54" s="47" t="n"/>
      <c r="E54" s="47" t="n"/>
      <c r="F54" s="44">
        <f>IF(E54="", "", IF(OR(E54=".NET 8 (SDK v1.5+ hỗ trợ chính thức)", E54=".NET 6 / .NET 7 (SDK v1.5+ hỗ trợ chính thức)"), "Hỗ trợ chuẩn SDK (.NET 6/7/8)", "Ngoài phạm vi SDK (Dùng OTel Native)"))</f>
        <v/>
      </c>
      <c r="G54" s="47" t="n"/>
      <c r="H54" s="47" t="n"/>
      <c r="I54" s="47" t="n"/>
      <c r="J54" s="47" t="n"/>
      <c r="K54" s="44">
        <f>IF(COUNTA(H54:J54)=0, "", IF(COUNTIF(H54:J54, "Đã hoàn thành (Đạt chuẩn)")=3, "ĐỦ 3 TRỤC (100%)", IF(COUNTIF(H54:J54, "Chưa triển khai")=3, "CHƯA GẮN (0%)", "THIẾU / CHƯA ĐẠT (" &amp; COUNTIF(H54:J54, "Đã hoàn thành (Đạt chuẩn)") &amp; "/3)")))</f>
        <v/>
      </c>
      <c r="L54" s="47" t="n"/>
      <c r="M54" s="47" t="n"/>
      <c r="N54" s="47" t="n"/>
      <c r="O54" s="44">
        <f>IF(COUNTA(L54:N54)=0, "", IF(COUNTIF(L54:N54, "Đã có (Đạt chuẩn)")=3, "ĐỦ 3 LEVEL DASHBOARD", IF(COUNTIF(L54:N54, "Chưa có")=3, "CHƯA CÓ DASHBOARD", "THIẾU DASHBOARD (" &amp; COUNTIF(L54:N54, "Đã có (Đạt chuẩn)") &amp; "/3)")))</f>
        <v/>
      </c>
      <c r="P54" s="47" t="n"/>
      <c r="Q54" s="47" t="n"/>
      <c r="R54" s="44">
        <f>IF(C54="", "", IF(P54="Đẩy thẳng Kafka / ES (Vi phạm BLOCKER)", "VI PHẠM (BLOCKER)", IF(AND(K54="ĐỦ 3 TRỤC (100%)", O54="ĐỦ 3 LEVEL DASHBOARD", P54="Qua OTel Collector (Đúng chuẩn)"), "ĐẠT CHUẨN QG2 (PASS)", IF(AND(K54="CHƯA GẮN (0%)", O54="CHƯA CÓ DASHBOARD"), "CHƯA TRIỂN KHAI", "ĐANG HOÀN THIỆN (PENDING)"))))</f>
        <v/>
      </c>
      <c r="S54" s="45" t="n"/>
      <c r="T54" s="45" t="n"/>
      <c r="U54" s="47" t="n"/>
      <c r="V54" s="45" t="n"/>
    </row>
    <row r="55" ht="24" customHeight="1">
      <c r="A55" s="44">
        <f>IF(COUNTA(B55:C55)=0, "", COUNTA($C$6:C55))</f>
        <v/>
      </c>
      <c r="B55" s="24" t="n"/>
      <c r="C55" s="48" t="n"/>
      <c r="D55" s="25" t="n"/>
      <c r="E55" s="25" t="n"/>
      <c r="F55" s="44">
        <f>IF(E55="", "", IF(OR(E55=".NET 8 (SDK v1.5+ hỗ trợ chính thức)", E55=".NET 6 / .NET 7 (SDK v1.5+ hỗ trợ chính thức)"), "Hỗ trợ chuẩn SDK (.NET 6/7/8)", "Ngoài phạm vi SDK (Dùng OTel Native)"))</f>
        <v/>
      </c>
      <c r="G55" s="25" t="n"/>
      <c r="H55" s="25" t="n"/>
      <c r="I55" s="25" t="n"/>
      <c r="J55" s="25" t="n"/>
      <c r="K55" s="44">
        <f>IF(COUNTA(H55:J55)=0, "", IF(COUNTIF(H55:J55, "Đã hoàn thành (Đạt chuẩn)")=3, "ĐỦ 3 TRỤC (100%)", IF(COUNTIF(H55:J55, "Chưa triển khai")=3, "CHƯA GẮN (0%)", "THIẾU / CHƯA ĐẠT (" &amp; COUNTIF(H55:J55, "Đã hoàn thành (Đạt chuẩn)") &amp; "/3)")))</f>
        <v/>
      </c>
      <c r="L55" s="25" t="n"/>
      <c r="M55" s="25" t="n"/>
      <c r="N55" s="25" t="n"/>
      <c r="O55" s="44">
        <f>IF(COUNTA(L55:N55)=0, "", IF(COUNTIF(L55:N55, "Đã có (Đạt chuẩn)")=3, "ĐỦ 3 LEVEL DASHBOARD", IF(COUNTIF(L55:N55, "Chưa có")=3, "CHƯA CÓ DASHBOARD", "THIẾU DASHBOARD (" &amp; COUNTIF(L55:N55, "Đã có (Đạt chuẩn)") &amp; "/3)")))</f>
        <v/>
      </c>
      <c r="P55" s="25" t="n"/>
      <c r="Q55" s="25" t="n"/>
      <c r="R55" s="44">
        <f>IF(C55="", "", IF(P55="Đẩy thẳng Kafka / ES (Vi phạm BLOCKER)", "VI PHẠM (BLOCKER)", IF(AND(K55="ĐỦ 3 TRỤC (100%)", O55="ĐỦ 3 LEVEL DASHBOARD", P55="Qua OTel Collector (Đúng chuẩn)"), "ĐẠT CHUẨN QG2 (PASS)", IF(AND(K55="CHƯA GẮN (0%)", O55="CHƯA CÓ DASHBOARD"), "CHƯA TRIỂN KHAI", "ĐANG HOÀN THIỆN (PENDING)"))))</f>
        <v/>
      </c>
      <c r="S55" s="24" t="n"/>
      <c r="T55" s="24" t="n"/>
      <c r="U55" s="25" t="n"/>
      <c r="V55" s="24" t="n"/>
    </row>
    <row r="56" ht="24" customHeight="1">
      <c r="A56" s="44">
        <f>IF(COUNTA(B56:C56)=0, "", COUNTA($C$6:C56))</f>
        <v/>
      </c>
      <c r="B56" s="45" t="n"/>
      <c r="C56" s="46" t="n"/>
      <c r="D56" s="47" t="n"/>
      <c r="E56" s="47" t="n"/>
      <c r="F56" s="44">
        <f>IF(E56="", "", IF(OR(E56=".NET 8 (SDK v1.5+ hỗ trợ chính thức)", E56=".NET 6 / .NET 7 (SDK v1.5+ hỗ trợ chính thức)"), "Hỗ trợ chuẩn SDK (.NET 6/7/8)", "Ngoài phạm vi SDK (Dùng OTel Native)"))</f>
        <v/>
      </c>
      <c r="G56" s="47" t="n"/>
      <c r="H56" s="47" t="n"/>
      <c r="I56" s="47" t="n"/>
      <c r="J56" s="47" t="n"/>
      <c r="K56" s="44">
        <f>IF(COUNTA(H56:J56)=0, "", IF(COUNTIF(H56:J56, "Đã hoàn thành (Đạt chuẩn)")=3, "ĐỦ 3 TRỤC (100%)", IF(COUNTIF(H56:J56, "Chưa triển khai")=3, "CHƯA GẮN (0%)", "THIẾU / CHƯA ĐẠT (" &amp; COUNTIF(H56:J56, "Đã hoàn thành (Đạt chuẩn)") &amp; "/3)")))</f>
        <v/>
      </c>
      <c r="L56" s="47" t="n"/>
      <c r="M56" s="47" t="n"/>
      <c r="N56" s="47" t="n"/>
      <c r="O56" s="44">
        <f>IF(COUNTA(L56:N56)=0, "", IF(COUNTIF(L56:N56, "Đã có (Đạt chuẩn)")=3, "ĐỦ 3 LEVEL DASHBOARD", IF(COUNTIF(L56:N56, "Chưa có")=3, "CHƯA CÓ DASHBOARD", "THIẾU DASHBOARD (" &amp; COUNTIF(L56:N56, "Đã có (Đạt chuẩn)") &amp; "/3)")))</f>
        <v/>
      </c>
      <c r="P56" s="47" t="n"/>
      <c r="Q56" s="47" t="n"/>
      <c r="R56" s="44">
        <f>IF(C56="", "", IF(P56="Đẩy thẳng Kafka / ES (Vi phạm BLOCKER)", "VI PHẠM (BLOCKER)", IF(AND(K56="ĐỦ 3 TRỤC (100%)", O56="ĐỦ 3 LEVEL DASHBOARD", P56="Qua OTel Collector (Đúng chuẩn)"), "ĐẠT CHUẨN QG2 (PASS)", IF(AND(K56="CHƯA GẮN (0%)", O56="CHƯA CÓ DASHBOARD"), "CHƯA TRIỂN KHAI", "ĐANG HOÀN THIỆN (PENDING)"))))</f>
        <v/>
      </c>
      <c r="S56" s="45" t="n"/>
      <c r="T56" s="45" t="n"/>
      <c r="U56" s="47" t="n"/>
      <c r="V56" s="45" t="n"/>
    </row>
    <row r="57" ht="24" customHeight="1">
      <c r="A57" s="44">
        <f>IF(COUNTA(B57:C57)=0, "", COUNTA($C$6:C57))</f>
        <v/>
      </c>
      <c r="B57" s="24" t="n"/>
      <c r="C57" s="48" t="n"/>
      <c r="D57" s="25" t="n"/>
      <c r="E57" s="25" t="n"/>
      <c r="F57" s="44">
        <f>IF(E57="", "", IF(OR(E57=".NET 8 (SDK v1.5+ hỗ trợ chính thức)", E57=".NET 6 / .NET 7 (SDK v1.5+ hỗ trợ chính thức)"), "Hỗ trợ chuẩn SDK (.NET 6/7/8)", "Ngoài phạm vi SDK (Dùng OTel Native)"))</f>
        <v/>
      </c>
      <c r="G57" s="25" t="n"/>
      <c r="H57" s="25" t="n"/>
      <c r="I57" s="25" t="n"/>
      <c r="J57" s="25" t="n"/>
      <c r="K57" s="44">
        <f>IF(COUNTA(H57:J57)=0, "", IF(COUNTIF(H57:J57, "Đã hoàn thành (Đạt chuẩn)")=3, "ĐỦ 3 TRỤC (100%)", IF(COUNTIF(H57:J57, "Chưa triển khai")=3, "CHƯA GẮN (0%)", "THIẾU / CHƯA ĐẠT (" &amp; COUNTIF(H57:J57, "Đã hoàn thành (Đạt chuẩn)") &amp; "/3)")))</f>
        <v/>
      </c>
      <c r="L57" s="25" t="n"/>
      <c r="M57" s="25" t="n"/>
      <c r="N57" s="25" t="n"/>
      <c r="O57" s="44">
        <f>IF(COUNTA(L57:N57)=0, "", IF(COUNTIF(L57:N57, "Đã có (Đạt chuẩn)")=3, "ĐỦ 3 LEVEL DASHBOARD", IF(COUNTIF(L57:N57, "Chưa có")=3, "CHƯA CÓ DASHBOARD", "THIẾU DASHBOARD (" &amp; COUNTIF(L57:N57, "Đã có (Đạt chuẩn)") &amp; "/3)")))</f>
        <v/>
      </c>
      <c r="P57" s="25" t="n"/>
      <c r="Q57" s="25" t="n"/>
      <c r="R57" s="44">
        <f>IF(C57="", "", IF(P57="Đẩy thẳng Kafka / ES (Vi phạm BLOCKER)", "VI PHẠM (BLOCKER)", IF(AND(K57="ĐỦ 3 TRỤC (100%)", O57="ĐỦ 3 LEVEL DASHBOARD", P57="Qua OTel Collector (Đúng chuẩn)"), "ĐẠT CHUẨN QG2 (PASS)", IF(AND(K57="CHƯA GẮN (0%)", O57="CHƯA CÓ DASHBOARD"), "CHƯA TRIỂN KHAI", "ĐANG HOÀN THIỆN (PENDING)"))))</f>
        <v/>
      </c>
      <c r="S57" s="24" t="n"/>
      <c r="T57" s="24" t="n"/>
      <c r="U57" s="25" t="n"/>
      <c r="V57" s="24" t="n"/>
    </row>
    <row r="58" ht="24" customHeight="1">
      <c r="A58" s="44">
        <f>IF(COUNTA(B58:C58)=0, "", COUNTA($C$6:C58))</f>
        <v/>
      </c>
      <c r="B58" s="45" t="n"/>
      <c r="C58" s="46" t="n"/>
      <c r="D58" s="47" t="n"/>
      <c r="E58" s="47" t="n"/>
      <c r="F58" s="44">
        <f>IF(E58="", "", IF(OR(E58=".NET 8 (SDK v1.5+ hỗ trợ chính thức)", E58=".NET 6 / .NET 7 (SDK v1.5+ hỗ trợ chính thức)"), "Hỗ trợ chuẩn SDK (.NET 6/7/8)", "Ngoài phạm vi SDK (Dùng OTel Native)"))</f>
        <v/>
      </c>
      <c r="G58" s="47" t="n"/>
      <c r="H58" s="47" t="n"/>
      <c r="I58" s="47" t="n"/>
      <c r="J58" s="47" t="n"/>
      <c r="K58" s="44">
        <f>IF(COUNTA(H58:J58)=0, "", IF(COUNTIF(H58:J58, "Đã hoàn thành (Đạt chuẩn)")=3, "ĐỦ 3 TRỤC (100%)", IF(COUNTIF(H58:J58, "Chưa triển khai")=3, "CHƯA GẮN (0%)", "THIẾU / CHƯA ĐẠT (" &amp; COUNTIF(H58:J58, "Đã hoàn thành (Đạt chuẩn)") &amp; "/3)")))</f>
        <v/>
      </c>
      <c r="L58" s="47" t="n"/>
      <c r="M58" s="47" t="n"/>
      <c r="N58" s="47" t="n"/>
      <c r="O58" s="44">
        <f>IF(COUNTA(L58:N58)=0, "", IF(COUNTIF(L58:N58, "Đã có (Đạt chuẩn)")=3, "ĐỦ 3 LEVEL DASHBOARD", IF(COUNTIF(L58:N58, "Chưa có")=3, "CHƯA CÓ DASHBOARD", "THIẾU DASHBOARD (" &amp; COUNTIF(L58:N58, "Đã có (Đạt chuẩn)") &amp; "/3)")))</f>
        <v/>
      </c>
      <c r="P58" s="47" t="n"/>
      <c r="Q58" s="47" t="n"/>
      <c r="R58" s="44">
        <f>IF(C58="", "", IF(P58="Đẩy thẳng Kafka / ES (Vi phạm BLOCKER)", "VI PHẠM (BLOCKER)", IF(AND(K58="ĐỦ 3 TRỤC (100%)", O58="ĐỦ 3 LEVEL DASHBOARD", P58="Qua OTel Collector (Đúng chuẩn)"), "ĐẠT CHUẨN QG2 (PASS)", IF(AND(K58="CHƯA GẮN (0%)", O58="CHƯA CÓ DASHBOARD"), "CHƯA TRIỂN KHAI", "ĐANG HOÀN THIỆN (PENDING)"))))</f>
        <v/>
      </c>
      <c r="S58" s="45" t="n"/>
      <c r="T58" s="45" t="n"/>
      <c r="U58" s="47" t="n"/>
      <c r="V58" s="45" t="n"/>
    </row>
    <row r="59" ht="24" customHeight="1">
      <c r="A59" s="44">
        <f>IF(COUNTA(B59:C59)=0, "", COUNTA($C$6:C59))</f>
        <v/>
      </c>
      <c r="B59" s="24" t="n"/>
      <c r="C59" s="48" t="n"/>
      <c r="D59" s="25" t="n"/>
      <c r="E59" s="25" t="n"/>
      <c r="F59" s="44">
        <f>IF(E59="", "", IF(OR(E59=".NET 8 (SDK v1.5+ hỗ trợ chính thức)", E59=".NET 6 / .NET 7 (SDK v1.5+ hỗ trợ chính thức)"), "Hỗ trợ chuẩn SDK (.NET 6/7/8)", "Ngoài phạm vi SDK (Dùng OTel Native)"))</f>
        <v/>
      </c>
      <c r="G59" s="25" t="n"/>
      <c r="H59" s="25" t="n"/>
      <c r="I59" s="25" t="n"/>
      <c r="J59" s="25" t="n"/>
      <c r="K59" s="44">
        <f>IF(COUNTA(H59:J59)=0, "", IF(COUNTIF(H59:J59, "Đã hoàn thành (Đạt chuẩn)")=3, "ĐỦ 3 TRỤC (100%)", IF(COUNTIF(H59:J59, "Chưa triển khai")=3, "CHƯA GẮN (0%)", "THIẾU / CHƯA ĐẠT (" &amp; COUNTIF(H59:J59, "Đã hoàn thành (Đạt chuẩn)") &amp; "/3)")))</f>
        <v/>
      </c>
      <c r="L59" s="25" t="n"/>
      <c r="M59" s="25" t="n"/>
      <c r="N59" s="25" t="n"/>
      <c r="O59" s="44">
        <f>IF(COUNTA(L59:N59)=0, "", IF(COUNTIF(L59:N59, "Đã có (Đạt chuẩn)")=3, "ĐỦ 3 LEVEL DASHBOARD", IF(COUNTIF(L59:N59, "Chưa có")=3, "CHƯA CÓ DASHBOARD", "THIẾU DASHBOARD (" &amp; COUNTIF(L59:N59, "Đã có (Đạt chuẩn)") &amp; "/3)")))</f>
        <v/>
      </c>
      <c r="P59" s="25" t="n"/>
      <c r="Q59" s="25" t="n"/>
      <c r="R59" s="44">
        <f>IF(C59="", "", IF(P59="Đẩy thẳng Kafka / ES (Vi phạm BLOCKER)", "VI PHẠM (BLOCKER)", IF(AND(K59="ĐỦ 3 TRỤC (100%)", O59="ĐỦ 3 LEVEL DASHBOARD", P59="Qua OTel Collector (Đúng chuẩn)"), "ĐẠT CHUẨN QG2 (PASS)", IF(AND(K59="CHƯA GẮN (0%)", O59="CHƯA CÓ DASHBOARD"), "CHƯA TRIỂN KHAI", "ĐANG HOÀN THIỆN (PENDING)"))))</f>
        <v/>
      </c>
      <c r="S59" s="24" t="n"/>
      <c r="T59" s="24" t="n"/>
      <c r="U59" s="25" t="n"/>
      <c r="V59" s="24" t="n"/>
    </row>
    <row r="60" ht="24" customHeight="1">
      <c r="A60" s="44">
        <f>IF(COUNTA(B60:C60)=0, "", COUNTA($C$6:C60))</f>
        <v/>
      </c>
      <c r="B60" s="45" t="n"/>
      <c r="C60" s="46" t="n"/>
      <c r="D60" s="47" t="n"/>
      <c r="E60" s="47" t="n"/>
      <c r="F60" s="44">
        <f>IF(E60="", "", IF(OR(E60=".NET 8 (SDK v1.5+ hỗ trợ chính thức)", E60=".NET 6 / .NET 7 (SDK v1.5+ hỗ trợ chính thức)"), "Hỗ trợ chuẩn SDK (.NET 6/7/8)", "Ngoài phạm vi SDK (Dùng OTel Native)"))</f>
        <v/>
      </c>
      <c r="G60" s="47" t="n"/>
      <c r="H60" s="47" t="n"/>
      <c r="I60" s="47" t="n"/>
      <c r="J60" s="47" t="n"/>
      <c r="K60" s="44">
        <f>IF(COUNTA(H60:J60)=0, "", IF(COUNTIF(H60:J60, "Đã hoàn thành (Đạt chuẩn)")=3, "ĐỦ 3 TRỤC (100%)", IF(COUNTIF(H60:J60, "Chưa triển khai")=3, "CHƯA GẮN (0%)", "THIẾU / CHƯA ĐẠT (" &amp; COUNTIF(H60:J60, "Đã hoàn thành (Đạt chuẩn)") &amp; "/3)")))</f>
        <v/>
      </c>
      <c r="L60" s="47" t="n"/>
      <c r="M60" s="47" t="n"/>
      <c r="N60" s="47" t="n"/>
      <c r="O60" s="44">
        <f>IF(COUNTA(L60:N60)=0, "", IF(COUNTIF(L60:N60, "Đã có (Đạt chuẩn)")=3, "ĐỦ 3 LEVEL DASHBOARD", IF(COUNTIF(L60:N60, "Chưa có")=3, "CHƯA CÓ DASHBOARD", "THIẾU DASHBOARD (" &amp; COUNTIF(L60:N60, "Đã có (Đạt chuẩn)") &amp; "/3)")))</f>
        <v/>
      </c>
      <c r="P60" s="47" t="n"/>
      <c r="Q60" s="47" t="n"/>
      <c r="R60" s="44">
        <f>IF(C60="", "", IF(P60="Đẩy thẳng Kafka / ES (Vi phạm BLOCKER)", "VI PHẠM (BLOCKER)", IF(AND(K60="ĐỦ 3 TRỤC (100%)", O60="ĐỦ 3 LEVEL DASHBOARD", P60="Qua OTel Collector (Đúng chuẩn)"), "ĐẠT CHUẨN QG2 (PASS)", IF(AND(K60="CHƯA GẮN (0%)", O60="CHƯA CÓ DASHBOARD"), "CHƯA TRIỂN KHAI", "ĐANG HOÀN THIỆN (PENDING)"))))</f>
        <v/>
      </c>
      <c r="S60" s="45" t="n"/>
      <c r="T60" s="45" t="n"/>
      <c r="U60" s="47" t="n"/>
      <c r="V60" s="45" t="n"/>
    </row>
    <row r="61" ht="24" customHeight="1">
      <c r="A61" s="44">
        <f>IF(COUNTA(B61:C61)=0, "", COUNTA($C$6:C61))</f>
        <v/>
      </c>
      <c r="B61" s="24" t="n"/>
      <c r="C61" s="48" t="n"/>
      <c r="D61" s="25" t="n"/>
      <c r="E61" s="25" t="n"/>
      <c r="F61" s="44">
        <f>IF(E61="", "", IF(OR(E61=".NET 8 (SDK v1.5+ hỗ trợ chính thức)", E61=".NET 6 / .NET 7 (SDK v1.5+ hỗ trợ chính thức)"), "Hỗ trợ chuẩn SDK (.NET 6/7/8)", "Ngoài phạm vi SDK (Dùng OTel Native)"))</f>
        <v/>
      </c>
      <c r="G61" s="25" t="n"/>
      <c r="H61" s="25" t="n"/>
      <c r="I61" s="25" t="n"/>
      <c r="J61" s="25" t="n"/>
      <c r="K61" s="44">
        <f>IF(COUNTA(H61:J61)=0, "", IF(COUNTIF(H61:J61, "Đã hoàn thành (Đạt chuẩn)")=3, "ĐỦ 3 TRỤC (100%)", IF(COUNTIF(H61:J61, "Chưa triển khai")=3, "CHƯA GẮN (0%)", "THIẾU / CHƯA ĐẠT (" &amp; COUNTIF(H61:J61, "Đã hoàn thành (Đạt chuẩn)") &amp; "/3)")))</f>
        <v/>
      </c>
      <c r="L61" s="25" t="n"/>
      <c r="M61" s="25" t="n"/>
      <c r="N61" s="25" t="n"/>
      <c r="O61" s="44">
        <f>IF(COUNTA(L61:N61)=0, "", IF(COUNTIF(L61:N61, "Đã có (Đạt chuẩn)")=3, "ĐỦ 3 LEVEL DASHBOARD", IF(COUNTIF(L61:N61, "Chưa có")=3, "CHƯA CÓ DASHBOARD", "THIẾU DASHBOARD (" &amp; COUNTIF(L61:N61, "Đã có (Đạt chuẩn)") &amp; "/3)")))</f>
        <v/>
      </c>
      <c r="P61" s="25" t="n"/>
      <c r="Q61" s="25" t="n"/>
      <c r="R61" s="44">
        <f>IF(C61="", "", IF(P61="Đẩy thẳng Kafka / ES (Vi phạm BLOCKER)", "VI PHẠM (BLOCKER)", IF(AND(K61="ĐỦ 3 TRỤC (100%)", O61="ĐỦ 3 LEVEL DASHBOARD", P61="Qua OTel Collector (Đúng chuẩn)"), "ĐẠT CHUẨN QG2 (PASS)", IF(AND(K61="CHƯA GẮN (0%)", O61="CHƯA CÓ DASHBOARD"), "CHƯA TRIỂN KHAI", "ĐANG HOÀN THIỆN (PENDING)"))))</f>
        <v/>
      </c>
      <c r="S61" s="24" t="n"/>
      <c r="T61" s="24" t="n"/>
      <c r="U61" s="25" t="n"/>
      <c r="V61" s="24" t="n"/>
    </row>
    <row r="62" ht="24" customHeight="1">
      <c r="A62" s="44">
        <f>IF(COUNTA(B62:C62)=0, "", COUNTA($C$6:C62))</f>
        <v/>
      </c>
      <c r="B62" s="45" t="n"/>
      <c r="C62" s="46" t="n"/>
      <c r="D62" s="47" t="n"/>
      <c r="E62" s="47" t="n"/>
      <c r="F62" s="44">
        <f>IF(E62="", "", IF(OR(E62=".NET 8 (SDK v1.5+ hỗ trợ chính thức)", E62=".NET 6 / .NET 7 (SDK v1.5+ hỗ trợ chính thức)"), "Hỗ trợ chuẩn SDK (.NET 6/7/8)", "Ngoài phạm vi SDK (Dùng OTel Native)"))</f>
        <v/>
      </c>
      <c r="G62" s="47" t="n"/>
      <c r="H62" s="47" t="n"/>
      <c r="I62" s="47" t="n"/>
      <c r="J62" s="47" t="n"/>
      <c r="K62" s="44">
        <f>IF(COUNTA(H62:J62)=0, "", IF(COUNTIF(H62:J62, "Đã hoàn thành (Đạt chuẩn)")=3, "ĐỦ 3 TRỤC (100%)", IF(COUNTIF(H62:J62, "Chưa triển khai")=3, "CHƯA GẮN (0%)", "THIẾU / CHƯA ĐẠT (" &amp; COUNTIF(H62:J62, "Đã hoàn thành (Đạt chuẩn)") &amp; "/3)")))</f>
        <v/>
      </c>
      <c r="L62" s="47" t="n"/>
      <c r="M62" s="47" t="n"/>
      <c r="N62" s="47" t="n"/>
      <c r="O62" s="44">
        <f>IF(COUNTA(L62:N62)=0, "", IF(COUNTIF(L62:N62, "Đã có (Đạt chuẩn)")=3, "ĐỦ 3 LEVEL DASHBOARD", IF(COUNTIF(L62:N62, "Chưa có")=3, "CHƯA CÓ DASHBOARD", "THIẾU DASHBOARD (" &amp; COUNTIF(L62:N62, "Đã có (Đạt chuẩn)") &amp; "/3)")))</f>
        <v/>
      </c>
      <c r="P62" s="47" t="n"/>
      <c r="Q62" s="47" t="n"/>
      <c r="R62" s="44">
        <f>IF(C62="", "", IF(P62="Đẩy thẳng Kafka / ES (Vi phạm BLOCKER)", "VI PHẠM (BLOCKER)", IF(AND(K62="ĐỦ 3 TRỤC (100%)", O62="ĐỦ 3 LEVEL DASHBOARD", P62="Qua OTel Collector (Đúng chuẩn)"), "ĐẠT CHUẨN QG2 (PASS)", IF(AND(K62="CHƯA GẮN (0%)", O62="CHƯA CÓ DASHBOARD"), "CHƯA TRIỂN KHAI", "ĐANG HOÀN THIỆN (PENDING)"))))</f>
        <v/>
      </c>
      <c r="S62" s="45" t="n"/>
      <c r="T62" s="45" t="n"/>
      <c r="U62" s="47" t="n"/>
      <c r="V62" s="45" t="n"/>
    </row>
    <row r="63" ht="24" customHeight="1">
      <c r="A63" s="44">
        <f>IF(COUNTA(B63:C63)=0, "", COUNTA($C$6:C63))</f>
        <v/>
      </c>
      <c r="B63" s="24" t="n"/>
      <c r="C63" s="48" t="n"/>
      <c r="D63" s="25" t="n"/>
      <c r="E63" s="25" t="n"/>
      <c r="F63" s="44">
        <f>IF(E63="", "", IF(OR(E63=".NET 8 (SDK v1.5+ hỗ trợ chính thức)", E63=".NET 6 / .NET 7 (SDK v1.5+ hỗ trợ chính thức)"), "Hỗ trợ chuẩn SDK (.NET 6/7/8)", "Ngoài phạm vi SDK (Dùng OTel Native)"))</f>
        <v/>
      </c>
      <c r="G63" s="25" t="n"/>
      <c r="H63" s="25" t="n"/>
      <c r="I63" s="25" t="n"/>
      <c r="J63" s="25" t="n"/>
      <c r="K63" s="44">
        <f>IF(COUNTA(H63:J63)=0, "", IF(COUNTIF(H63:J63, "Đã hoàn thành (Đạt chuẩn)")=3, "ĐỦ 3 TRỤC (100%)", IF(COUNTIF(H63:J63, "Chưa triển khai")=3, "CHƯA GẮN (0%)", "THIẾU / CHƯA ĐẠT (" &amp; COUNTIF(H63:J63, "Đã hoàn thành (Đạt chuẩn)") &amp; "/3)")))</f>
        <v/>
      </c>
      <c r="L63" s="25" t="n"/>
      <c r="M63" s="25" t="n"/>
      <c r="N63" s="25" t="n"/>
      <c r="O63" s="44">
        <f>IF(COUNTA(L63:N63)=0, "", IF(COUNTIF(L63:N63, "Đã có (Đạt chuẩn)")=3, "ĐỦ 3 LEVEL DASHBOARD", IF(COUNTIF(L63:N63, "Chưa có")=3, "CHƯA CÓ DASHBOARD", "THIẾU DASHBOARD (" &amp; COUNTIF(L63:N63, "Đã có (Đạt chuẩn)") &amp; "/3)")))</f>
        <v/>
      </c>
      <c r="P63" s="25" t="n"/>
      <c r="Q63" s="25" t="n"/>
      <c r="R63" s="44">
        <f>IF(C63="", "", IF(P63="Đẩy thẳng Kafka / ES (Vi phạm BLOCKER)", "VI PHẠM (BLOCKER)", IF(AND(K63="ĐỦ 3 TRỤC (100%)", O63="ĐỦ 3 LEVEL DASHBOARD", P63="Qua OTel Collector (Đúng chuẩn)"), "ĐẠT CHUẨN QG2 (PASS)", IF(AND(K63="CHƯA GẮN (0%)", O63="CHƯA CÓ DASHBOARD"), "CHƯA TRIỂN KHAI", "ĐANG HOÀN THIỆN (PENDING)"))))</f>
        <v/>
      </c>
      <c r="S63" s="24" t="n"/>
      <c r="T63" s="24" t="n"/>
      <c r="U63" s="25" t="n"/>
      <c r="V63" s="24" t="n"/>
    </row>
    <row r="64" ht="24" customHeight="1">
      <c r="A64" s="44">
        <f>IF(COUNTA(B64:C64)=0, "", COUNTA($C$6:C64))</f>
        <v/>
      </c>
      <c r="B64" s="45" t="n"/>
      <c r="C64" s="46" t="n"/>
      <c r="D64" s="47" t="n"/>
      <c r="E64" s="47" t="n"/>
      <c r="F64" s="44">
        <f>IF(E64="", "", IF(OR(E64=".NET 8 (SDK v1.5+ hỗ trợ chính thức)", E64=".NET 6 / .NET 7 (SDK v1.5+ hỗ trợ chính thức)"), "Hỗ trợ chuẩn SDK (.NET 6/7/8)", "Ngoài phạm vi SDK (Dùng OTel Native)"))</f>
        <v/>
      </c>
      <c r="G64" s="47" t="n"/>
      <c r="H64" s="47" t="n"/>
      <c r="I64" s="47" t="n"/>
      <c r="J64" s="47" t="n"/>
      <c r="K64" s="44">
        <f>IF(COUNTA(H64:J64)=0, "", IF(COUNTIF(H64:J64, "Đã hoàn thành (Đạt chuẩn)")=3, "ĐỦ 3 TRỤC (100%)", IF(COUNTIF(H64:J64, "Chưa triển khai")=3, "CHƯA GẮN (0%)", "THIẾU / CHƯA ĐẠT (" &amp; COUNTIF(H64:J64, "Đã hoàn thành (Đạt chuẩn)") &amp; "/3)")))</f>
        <v/>
      </c>
      <c r="L64" s="47" t="n"/>
      <c r="M64" s="47" t="n"/>
      <c r="N64" s="47" t="n"/>
      <c r="O64" s="44">
        <f>IF(COUNTA(L64:N64)=0, "", IF(COUNTIF(L64:N64, "Đã có (Đạt chuẩn)")=3, "ĐỦ 3 LEVEL DASHBOARD", IF(COUNTIF(L64:N64, "Chưa có")=3, "CHƯA CÓ DASHBOARD", "THIẾU DASHBOARD (" &amp; COUNTIF(L64:N64, "Đã có (Đạt chuẩn)") &amp; "/3)")))</f>
        <v/>
      </c>
      <c r="P64" s="47" t="n"/>
      <c r="Q64" s="47" t="n"/>
      <c r="R64" s="44">
        <f>IF(C64="", "", IF(P64="Đẩy thẳng Kafka / ES (Vi phạm BLOCKER)", "VI PHẠM (BLOCKER)", IF(AND(K64="ĐỦ 3 TRỤC (100%)", O64="ĐỦ 3 LEVEL DASHBOARD", P64="Qua OTel Collector (Đúng chuẩn)"), "ĐẠT CHUẨN QG2 (PASS)", IF(AND(K64="CHƯA GẮN (0%)", O64="CHƯA CÓ DASHBOARD"), "CHƯA TRIỂN KHAI", "ĐANG HOÀN THIỆN (PENDING)"))))</f>
        <v/>
      </c>
      <c r="S64" s="45" t="n"/>
      <c r="T64" s="45" t="n"/>
      <c r="U64" s="47" t="n"/>
      <c r="V64" s="45" t="n"/>
    </row>
    <row r="65" ht="24" customHeight="1">
      <c r="A65" s="44">
        <f>IF(COUNTA(B65:C65)=0, "", COUNTA($C$6:C65))</f>
        <v/>
      </c>
      <c r="B65" s="24" t="n"/>
      <c r="C65" s="48" t="n"/>
      <c r="D65" s="25" t="n"/>
      <c r="E65" s="25" t="n"/>
      <c r="F65" s="44">
        <f>IF(E65="", "", IF(OR(E65=".NET 8 (SDK v1.5+ hỗ trợ chính thức)", E65=".NET 6 / .NET 7 (SDK v1.5+ hỗ trợ chính thức)"), "Hỗ trợ chuẩn SDK (.NET 6/7/8)", "Ngoài phạm vi SDK (Dùng OTel Native)"))</f>
        <v/>
      </c>
      <c r="G65" s="25" t="n"/>
      <c r="H65" s="25" t="n"/>
      <c r="I65" s="25" t="n"/>
      <c r="J65" s="25" t="n"/>
      <c r="K65" s="44">
        <f>IF(COUNTA(H65:J65)=0, "", IF(COUNTIF(H65:J65, "Đã hoàn thành (Đạt chuẩn)")=3, "ĐỦ 3 TRỤC (100%)", IF(COUNTIF(H65:J65, "Chưa triển khai")=3, "CHƯA GẮN (0%)", "THIẾU / CHƯA ĐẠT (" &amp; COUNTIF(H65:J65, "Đã hoàn thành (Đạt chuẩn)") &amp; "/3)")))</f>
        <v/>
      </c>
      <c r="L65" s="25" t="n"/>
      <c r="M65" s="25" t="n"/>
      <c r="N65" s="25" t="n"/>
      <c r="O65" s="44">
        <f>IF(COUNTA(L65:N65)=0, "", IF(COUNTIF(L65:N65, "Đã có (Đạt chuẩn)")=3, "ĐỦ 3 LEVEL DASHBOARD", IF(COUNTIF(L65:N65, "Chưa có")=3, "CHƯA CÓ DASHBOARD", "THIẾU DASHBOARD (" &amp; COUNTIF(L65:N65, "Đã có (Đạt chuẩn)") &amp; "/3)")))</f>
        <v/>
      </c>
      <c r="P65" s="25" t="n"/>
      <c r="Q65" s="25" t="n"/>
      <c r="R65" s="44">
        <f>IF(C65="", "", IF(P65="Đẩy thẳng Kafka / ES (Vi phạm BLOCKER)", "VI PHẠM (BLOCKER)", IF(AND(K65="ĐỦ 3 TRỤC (100%)", O65="ĐỦ 3 LEVEL DASHBOARD", P65="Qua OTel Collector (Đúng chuẩn)"), "ĐẠT CHUẨN QG2 (PASS)", IF(AND(K65="CHƯA GẮN (0%)", O65="CHƯA CÓ DASHBOARD"), "CHƯA TRIỂN KHAI", "ĐANG HOÀN THIỆN (PENDING)"))))</f>
        <v/>
      </c>
      <c r="S65" s="24" t="n"/>
      <c r="T65" s="24" t="n"/>
      <c r="U65" s="25" t="n"/>
      <c r="V65" s="24" t="n"/>
    </row>
    <row r="66" ht="24" customHeight="1">
      <c r="A66" s="44">
        <f>IF(COUNTA(B66:C66)=0, "", COUNTA($C$6:C66))</f>
        <v/>
      </c>
      <c r="B66" s="45" t="n"/>
      <c r="C66" s="46" t="n"/>
      <c r="D66" s="47" t="n"/>
      <c r="E66" s="47" t="n"/>
      <c r="F66" s="44">
        <f>IF(E66="", "", IF(OR(E66=".NET 8 (SDK v1.5+ hỗ trợ chính thức)", E66=".NET 6 / .NET 7 (SDK v1.5+ hỗ trợ chính thức)"), "Hỗ trợ chuẩn SDK (.NET 6/7/8)", "Ngoài phạm vi SDK (Dùng OTel Native)"))</f>
        <v/>
      </c>
      <c r="G66" s="47" t="n"/>
      <c r="H66" s="47" t="n"/>
      <c r="I66" s="47" t="n"/>
      <c r="J66" s="47" t="n"/>
      <c r="K66" s="44">
        <f>IF(COUNTA(H66:J66)=0, "", IF(COUNTIF(H66:J66, "Đã hoàn thành (Đạt chuẩn)")=3, "ĐỦ 3 TRỤC (100%)", IF(COUNTIF(H66:J66, "Chưa triển khai")=3, "CHƯA GẮN (0%)", "THIẾU / CHƯA ĐẠT (" &amp; COUNTIF(H66:J66, "Đã hoàn thành (Đạt chuẩn)") &amp; "/3)")))</f>
        <v/>
      </c>
      <c r="L66" s="47" t="n"/>
      <c r="M66" s="47" t="n"/>
      <c r="N66" s="47" t="n"/>
      <c r="O66" s="44">
        <f>IF(COUNTA(L66:N66)=0, "", IF(COUNTIF(L66:N66, "Đã có (Đạt chuẩn)")=3, "ĐỦ 3 LEVEL DASHBOARD", IF(COUNTIF(L66:N66, "Chưa có")=3, "CHƯA CÓ DASHBOARD", "THIẾU DASHBOARD (" &amp; COUNTIF(L66:N66, "Đã có (Đạt chuẩn)") &amp; "/3)")))</f>
        <v/>
      </c>
      <c r="P66" s="47" t="n"/>
      <c r="Q66" s="47" t="n"/>
      <c r="R66" s="44">
        <f>IF(C66="", "", IF(P66="Đẩy thẳng Kafka / ES (Vi phạm BLOCKER)", "VI PHẠM (BLOCKER)", IF(AND(K66="ĐỦ 3 TRỤC (100%)", O66="ĐỦ 3 LEVEL DASHBOARD", P66="Qua OTel Collector (Đúng chuẩn)"), "ĐẠT CHUẨN QG2 (PASS)", IF(AND(K66="CHƯA GẮN (0%)", O66="CHƯA CÓ DASHBOARD"), "CHƯA TRIỂN KHAI", "ĐANG HOÀN THIỆN (PENDING)"))))</f>
        <v/>
      </c>
      <c r="S66" s="45" t="n"/>
      <c r="T66" s="45" t="n"/>
      <c r="U66" s="47" t="n"/>
      <c r="V66" s="45" t="n"/>
    </row>
    <row r="67" ht="24" customHeight="1">
      <c r="A67" s="44">
        <f>IF(COUNTA(B67:C67)=0, "", COUNTA($C$6:C67))</f>
        <v/>
      </c>
      <c r="B67" s="24" t="n"/>
      <c r="C67" s="48" t="n"/>
      <c r="D67" s="25" t="n"/>
      <c r="E67" s="25" t="n"/>
      <c r="F67" s="44">
        <f>IF(E67="", "", IF(OR(E67=".NET 8 (SDK v1.5+ hỗ trợ chính thức)", E67=".NET 6 / .NET 7 (SDK v1.5+ hỗ trợ chính thức)"), "Hỗ trợ chuẩn SDK (.NET 6/7/8)", "Ngoài phạm vi SDK (Dùng OTel Native)"))</f>
        <v/>
      </c>
      <c r="G67" s="25" t="n"/>
      <c r="H67" s="25" t="n"/>
      <c r="I67" s="25" t="n"/>
      <c r="J67" s="25" t="n"/>
      <c r="K67" s="44">
        <f>IF(COUNTA(H67:J67)=0, "", IF(COUNTIF(H67:J67, "Đã hoàn thành (Đạt chuẩn)")=3, "ĐỦ 3 TRỤC (100%)", IF(COUNTIF(H67:J67, "Chưa triển khai")=3, "CHƯA GẮN (0%)", "THIẾU / CHƯA ĐẠT (" &amp; COUNTIF(H67:J67, "Đã hoàn thành (Đạt chuẩn)") &amp; "/3)")))</f>
        <v/>
      </c>
      <c r="L67" s="25" t="n"/>
      <c r="M67" s="25" t="n"/>
      <c r="N67" s="25" t="n"/>
      <c r="O67" s="44">
        <f>IF(COUNTA(L67:N67)=0, "", IF(COUNTIF(L67:N67, "Đã có (Đạt chuẩn)")=3, "ĐỦ 3 LEVEL DASHBOARD", IF(COUNTIF(L67:N67, "Chưa có")=3, "CHƯA CÓ DASHBOARD", "THIẾU DASHBOARD (" &amp; COUNTIF(L67:N67, "Đã có (Đạt chuẩn)") &amp; "/3)")))</f>
        <v/>
      </c>
      <c r="P67" s="25" t="n"/>
      <c r="Q67" s="25" t="n"/>
      <c r="R67" s="44">
        <f>IF(C67="", "", IF(P67="Đẩy thẳng Kafka / ES (Vi phạm BLOCKER)", "VI PHẠM (BLOCKER)", IF(AND(K67="ĐỦ 3 TRỤC (100%)", O67="ĐỦ 3 LEVEL DASHBOARD", P67="Qua OTel Collector (Đúng chuẩn)"), "ĐẠT CHUẨN QG2 (PASS)", IF(AND(K67="CHƯA GẮN (0%)", O67="CHƯA CÓ DASHBOARD"), "CHƯA TRIỂN KHAI", "ĐANG HOÀN THIỆN (PENDING)"))))</f>
        <v/>
      </c>
      <c r="S67" s="24" t="n"/>
      <c r="T67" s="24" t="n"/>
      <c r="U67" s="25" t="n"/>
      <c r="V67" s="24" t="n"/>
    </row>
    <row r="68" ht="24" customHeight="1">
      <c r="A68" s="44">
        <f>IF(COUNTA(B68:C68)=0, "", COUNTA($C$6:C68))</f>
        <v/>
      </c>
      <c r="B68" s="45" t="n"/>
      <c r="C68" s="46" t="n"/>
      <c r="D68" s="47" t="n"/>
      <c r="E68" s="47" t="n"/>
      <c r="F68" s="44">
        <f>IF(E68="", "", IF(OR(E68=".NET 8 (SDK v1.5+ hỗ trợ chính thức)", E68=".NET 6 / .NET 7 (SDK v1.5+ hỗ trợ chính thức)"), "Hỗ trợ chuẩn SDK (.NET 6/7/8)", "Ngoài phạm vi SDK (Dùng OTel Native)"))</f>
        <v/>
      </c>
      <c r="G68" s="47" t="n"/>
      <c r="H68" s="47" t="n"/>
      <c r="I68" s="47" t="n"/>
      <c r="J68" s="47" t="n"/>
      <c r="K68" s="44">
        <f>IF(COUNTA(H68:J68)=0, "", IF(COUNTIF(H68:J68, "Đã hoàn thành (Đạt chuẩn)")=3, "ĐỦ 3 TRỤC (100%)", IF(COUNTIF(H68:J68, "Chưa triển khai")=3, "CHƯA GẮN (0%)", "THIẾU / CHƯA ĐẠT (" &amp; COUNTIF(H68:J68, "Đã hoàn thành (Đạt chuẩn)") &amp; "/3)")))</f>
        <v/>
      </c>
      <c r="L68" s="47" t="n"/>
      <c r="M68" s="47" t="n"/>
      <c r="N68" s="47" t="n"/>
      <c r="O68" s="44">
        <f>IF(COUNTA(L68:N68)=0, "", IF(COUNTIF(L68:N68, "Đã có (Đạt chuẩn)")=3, "ĐỦ 3 LEVEL DASHBOARD", IF(COUNTIF(L68:N68, "Chưa có")=3, "CHƯA CÓ DASHBOARD", "THIẾU DASHBOARD (" &amp; COUNTIF(L68:N68, "Đã có (Đạt chuẩn)") &amp; "/3)")))</f>
        <v/>
      </c>
      <c r="P68" s="47" t="n"/>
      <c r="Q68" s="47" t="n"/>
      <c r="R68" s="44">
        <f>IF(C68="", "", IF(P68="Đẩy thẳng Kafka / ES (Vi phạm BLOCKER)", "VI PHẠM (BLOCKER)", IF(AND(K68="ĐỦ 3 TRỤC (100%)", O68="ĐỦ 3 LEVEL DASHBOARD", P68="Qua OTel Collector (Đúng chuẩn)"), "ĐẠT CHUẨN QG2 (PASS)", IF(AND(K68="CHƯA GẮN (0%)", O68="CHƯA CÓ DASHBOARD"), "CHƯA TRIỂN KHAI", "ĐANG HOÀN THIỆN (PENDING)"))))</f>
        <v/>
      </c>
      <c r="S68" s="45" t="n"/>
      <c r="T68" s="45" t="n"/>
      <c r="U68" s="47" t="n"/>
      <c r="V68" s="45" t="n"/>
    </row>
    <row r="69" ht="24" customHeight="1">
      <c r="A69" s="44">
        <f>IF(COUNTA(B69:C69)=0, "", COUNTA($C$6:C69))</f>
        <v/>
      </c>
      <c r="B69" s="24" t="n"/>
      <c r="C69" s="48" t="n"/>
      <c r="D69" s="25" t="n"/>
      <c r="E69" s="25" t="n"/>
      <c r="F69" s="44">
        <f>IF(E69="", "", IF(OR(E69=".NET 8 (SDK v1.5+ hỗ trợ chính thức)", E69=".NET 6 / .NET 7 (SDK v1.5+ hỗ trợ chính thức)"), "Hỗ trợ chuẩn SDK (.NET 6/7/8)", "Ngoài phạm vi SDK (Dùng OTel Native)"))</f>
        <v/>
      </c>
      <c r="G69" s="25" t="n"/>
      <c r="H69" s="25" t="n"/>
      <c r="I69" s="25" t="n"/>
      <c r="J69" s="25" t="n"/>
      <c r="K69" s="44">
        <f>IF(COUNTA(H69:J69)=0, "", IF(COUNTIF(H69:J69, "Đã hoàn thành (Đạt chuẩn)")=3, "ĐỦ 3 TRỤC (100%)", IF(COUNTIF(H69:J69, "Chưa triển khai")=3, "CHƯA GẮN (0%)", "THIẾU / CHƯA ĐẠT (" &amp; COUNTIF(H69:J69, "Đã hoàn thành (Đạt chuẩn)") &amp; "/3)")))</f>
        <v/>
      </c>
      <c r="L69" s="25" t="n"/>
      <c r="M69" s="25" t="n"/>
      <c r="N69" s="25" t="n"/>
      <c r="O69" s="44">
        <f>IF(COUNTA(L69:N69)=0, "", IF(COUNTIF(L69:N69, "Đã có (Đạt chuẩn)")=3, "ĐỦ 3 LEVEL DASHBOARD", IF(COUNTIF(L69:N69, "Chưa có")=3, "CHƯA CÓ DASHBOARD", "THIẾU DASHBOARD (" &amp; COUNTIF(L69:N69, "Đã có (Đạt chuẩn)") &amp; "/3)")))</f>
        <v/>
      </c>
      <c r="P69" s="25" t="n"/>
      <c r="Q69" s="25" t="n"/>
      <c r="R69" s="44">
        <f>IF(C69="", "", IF(P69="Đẩy thẳng Kafka / ES (Vi phạm BLOCKER)", "VI PHẠM (BLOCKER)", IF(AND(K69="ĐỦ 3 TRỤC (100%)", O69="ĐỦ 3 LEVEL DASHBOARD", P69="Qua OTel Collector (Đúng chuẩn)"), "ĐẠT CHUẨN QG2 (PASS)", IF(AND(K69="CHƯA GẮN (0%)", O69="CHƯA CÓ DASHBOARD"), "CHƯA TRIỂN KHAI", "ĐANG HOÀN THIỆN (PENDING)"))))</f>
        <v/>
      </c>
      <c r="S69" s="24" t="n"/>
      <c r="T69" s="24" t="n"/>
      <c r="U69" s="25" t="n"/>
      <c r="V69" s="24" t="n"/>
    </row>
    <row r="70" ht="24" customHeight="1">
      <c r="A70" s="44">
        <f>IF(COUNTA(B70:C70)=0, "", COUNTA($C$6:C70))</f>
        <v/>
      </c>
      <c r="B70" s="45" t="n"/>
      <c r="C70" s="46" t="n"/>
      <c r="D70" s="47" t="n"/>
      <c r="E70" s="47" t="n"/>
      <c r="F70" s="44">
        <f>IF(E70="", "", IF(OR(E70=".NET 8 (SDK v1.5+ hỗ trợ chính thức)", E70=".NET 6 / .NET 7 (SDK v1.5+ hỗ trợ chính thức)"), "Hỗ trợ chuẩn SDK (.NET 6/7/8)", "Ngoài phạm vi SDK (Dùng OTel Native)"))</f>
        <v/>
      </c>
      <c r="G70" s="47" t="n"/>
      <c r="H70" s="47" t="n"/>
      <c r="I70" s="47" t="n"/>
      <c r="J70" s="47" t="n"/>
      <c r="K70" s="44">
        <f>IF(COUNTA(H70:J70)=0, "", IF(COUNTIF(H70:J70, "Đã hoàn thành (Đạt chuẩn)")=3, "ĐỦ 3 TRỤC (100%)", IF(COUNTIF(H70:J70, "Chưa triển khai")=3, "CHƯA GẮN (0%)", "THIẾU / CHƯA ĐẠT (" &amp; COUNTIF(H70:J70, "Đã hoàn thành (Đạt chuẩn)") &amp; "/3)")))</f>
        <v/>
      </c>
      <c r="L70" s="47" t="n"/>
      <c r="M70" s="47" t="n"/>
      <c r="N70" s="47" t="n"/>
      <c r="O70" s="44">
        <f>IF(COUNTA(L70:N70)=0, "", IF(COUNTIF(L70:N70, "Đã có (Đạt chuẩn)")=3, "ĐỦ 3 LEVEL DASHBOARD", IF(COUNTIF(L70:N70, "Chưa có")=3, "CHƯA CÓ DASHBOARD", "THIẾU DASHBOARD (" &amp; COUNTIF(L70:N70, "Đã có (Đạt chuẩn)") &amp; "/3)")))</f>
        <v/>
      </c>
      <c r="P70" s="47" t="n"/>
      <c r="Q70" s="47" t="n"/>
      <c r="R70" s="44">
        <f>IF(C70="", "", IF(P70="Đẩy thẳng Kafka / ES (Vi phạm BLOCKER)", "VI PHẠM (BLOCKER)", IF(AND(K70="ĐỦ 3 TRỤC (100%)", O70="ĐỦ 3 LEVEL DASHBOARD", P70="Qua OTel Collector (Đúng chuẩn)"), "ĐẠT CHUẨN QG2 (PASS)", IF(AND(K70="CHƯA GẮN (0%)", O70="CHƯA CÓ DASHBOARD"), "CHƯA TRIỂN KHAI", "ĐANG HOÀN THIỆN (PENDING)"))))</f>
        <v/>
      </c>
      <c r="S70" s="45" t="n"/>
      <c r="T70" s="45" t="n"/>
      <c r="U70" s="47" t="n"/>
      <c r="V70" s="45" t="n"/>
    </row>
    <row r="71" ht="24" customHeight="1">
      <c r="A71" s="44">
        <f>IF(COUNTA(B71:C71)=0, "", COUNTA($C$6:C71))</f>
        <v/>
      </c>
      <c r="B71" s="24" t="n"/>
      <c r="C71" s="48" t="n"/>
      <c r="D71" s="25" t="n"/>
      <c r="E71" s="25" t="n"/>
      <c r="F71" s="44">
        <f>IF(E71="", "", IF(OR(E71=".NET 8 (SDK v1.5+ hỗ trợ chính thức)", E71=".NET 6 / .NET 7 (SDK v1.5+ hỗ trợ chính thức)"), "Hỗ trợ chuẩn SDK (.NET 6/7/8)", "Ngoài phạm vi SDK (Dùng OTel Native)"))</f>
        <v/>
      </c>
      <c r="G71" s="25" t="n"/>
      <c r="H71" s="25" t="n"/>
      <c r="I71" s="25" t="n"/>
      <c r="J71" s="25" t="n"/>
      <c r="K71" s="44">
        <f>IF(COUNTA(H71:J71)=0, "", IF(COUNTIF(H71:J71, "Đã hoàn thành (Đạt chuẩn)")=3, "ĐỦ 3 TRỤC (100%)", IF(COUNTIF(H71:J71, "Chưa triển khai")=3, "CHƯA GẮN (0%)", "THIẾU / CHƯA ĐẠT (" &amp; COUNTIF(H71:J71, "Đã hoàn thành (Đạt chuẩn)") &amp; "/3)")))</f>
        <v/>
      </c>
      <c r="L71" s="25" t="n"/>
      <c r="M71" s="25" t="n"/>
      <c r="N71" s="25" t="n"/>
      <c r="O71" s="44">
        <f>IF(COUNTA(L71:N71)=0, "", IF(COUNTIF(L71:N71, "Đã có (Đạt chuẩn)")=3, "ĐỦ 3 LEVEL DASHBOARD", IF(COUNTIF(L71:N71, "Chưa có")=3, "CHƯA CÓ DASHBOARD", "THIẾU DASHBOARD (" &amp; COUNTIF(L71:N71, "Đã có (Đạt chuẩn)") &amp; "/3)")))</f>
        <v/>
      </c>
      <c r="P71" s="25" t="n"/>
      <c r="Q71" s="25" t="n"/>
      <c r="R71" s="44">
        <f>IF(C71="", "", IF(P71="Đẩy thẳng Kafka / ES (Vi phạm BLOCKER)", "VI PHẠM (BLOCKER)", IF(AND(K71="ĐỦ 3 TRỤC (100%)", O71="ĐỦ 3 LEVEL DASHBOARD", P71="Qua OTel Collector (Đúng chuẩn)"), "ĐẠT CHUẨN QG2 (PASS)", IF(AND(K71="CHƯA GẮN (0%)", O71="CHƯA CÓ DASHBOARD"), "CHƯA TRIỂN KHAI", "ĐANG HOÀN THIỆN (PENDING)"))))</f>
        <v/>
      </c>
      <c r="S71" s="24" t="n"/>
      <c r="T71" s="24" t="n"/>
      <c r="U71" s="25" t="n"/>
      <c r="V71" s="24" t="n"/>
    </row>
    <row r="72" ht="24" customHeight="1">
      <c r="A72" s="44">
        <f>IF(COUNTA(B72:C72)=0, "", COUNTA($C$6:C72))</f>
        <v/>
      </c>
      <c r="B72" s="45" t="n"/>
      <c r="C72" s="46" t="n"/>
      <c r="D72" s="47" t="n"/>
      <c r="E72" s="47" t="n"/>
      <c r="F72" s="44">
        <f>IF(E72="", "", IF(OR(E72=".NET 8 (SDK v1.5+ hỗ trợ chính thức)", E72=".NET 6 / .NET 7 (SDK v1.5+ hỗ trợ chính thức)"), "Hỗ trợ chuẩn SDK (.NET 6/7/8)", "Ngoài phạm vi SDK (Dùng OTel Native)"))</f>
        <v/>
      </c>
      <c r="G72" s="47" t="n"/>
      <c r="H72" s="47" t="n"/>
      <c r="I72" s="47" t="n"/>
      <c r="J72" s="47" t="n"/>
      <c r="K72" s="44">
        <f>IF(COUNTA(H72:J72)=0, "", IF(COUNTIF(H72:J72, "Đã hoàn thành (Đạt chuẩn)")=3, "ĐỦ 3 TRỤC (100%)", IF(COUNTIF(H72:J72, "Chưa triển khai")=3, "CHƯA GẮN (0%)", "THIẾU / CHƯA ĐẠT (" &amp; COUNTIF(H72:J72, "Đã hoàn thành (Đạt chuẩn)") &amp; "/3)")))</f>
        <v/>
      </c>
      <c r="L72" s="47" t="n"/>
      <c r="M72" s="47" t="n"/>
      <c r="N72" s="47" t="n"/>
      <c r="O72" s="44">
        <f>IF(COUNTA(L72:N72)=0, "", IF(COUNTIF(L72:N72, "Đã có (Đạt chuẩn)")=3, "ĐỦ 3 LEVEL DASHBOARD", IF(COUNTIF(L72:N72, "Chưa có")=3, "CHƯA CÓ DASHBOARD", "THIẾU DASHBOARD (" &amp; COUNTIF(L72:N72, "Đã có (Đạt chuẩn)") &amp; "/3)")))</f>
        <v/>
      </c>
      <c r="P72" s="47" t="n"/>
      <c r="Q72" s="47" t="n"/>
      <c r="R72" s="44">
        <f>IF(C72="", "", IF(P72="Đẩy thẳng Kafka / ES (Vi phạm BLOCKER)", "VI PHẠM (BLOCKER)", IF(AND(K72="ĐỦ 3 TRỤC (100%)", O72="ĐỦ 3 LEVEL DASHBOARD", P72="Qua OTel Collector (Đúng chuẩn)"), "ĐẠT CHUẨN QG2 (PASS)", IF(AND(K72="CHƯA GẮN (0%)", O72="CHƯA CÓ DASHBOARD"), "CHƯA TRIỂN KHAI", "ĐANG HOÀN THIỆN (PENDING)"))))</f>
        <v/>
      </c>
      <c r="S72" s="45" t="n"/>
      <c r="T72" s="45" t="n"/>
      <c r="U72" s="47" t="n"/>
      <c r="V72" s="45" t="n"/>
    </row>
    <row r="73" ht="24" customHeight="1">
      <c r="A73" s="44">
        <f>IF(COUNTA(B73:C73)=0, "", COUNTA($C$6:C73))</f>
        <v/>
      </c>
      <c r="B73" s="24" t="n"/>
      <c r="C73" s="48" t="n"/>
      <c r="D73" s="25" t="n"/>
      <c r="E73" s="25" t="n"/>
      <c r="F73" s="44">
        <f>IF(E73="", "", IF(OR(E73=".NET 8 (SDK v1.5+ hỗ trợ chính thức)", E73=".NET 6 / .NET 7 (SDK v1.5+ hỗ trợ chính thức)"), "Hỗ trợ chuẩn SDK (.NET 6/7/8)", "Ngoài phạm vi SDK (Dùng OTel Native)"))</f>
        <v/>
      </c>
      <c r="G73" s="25" t="n"/>
      <c r="H73" s="25" t="n"/>
      <c r="I73" s="25" t="n"/>
      <c r="J73" s="25" t="n"/>
      <c r="K73" s="44">
        <f>IF(COUNTA(H73:J73)=0, "", IF(COUNTIF(H73:J73, "Đã hoàn thành (Đạt chuẩn)")=3, "ĐỦ 3 TRỤC (100%)", IF(COUNTIF(H73:J73, "Chưa triển khai")=3, "CHƯA GẮN (0%)", "THIẾU / CHƯA ĐẠT (" &amp; COUNTIF(H73:J73, "Đã hoàn thành (Đạt chuẩn)") &amp; "/3)")))</f>
        <v/>
      </c>
      <c r="L73" s="25" t="n"/>
      <c r="M73" s="25" t="n"/>
      <c r="N73" s="25" t="n"/>
      <c r="O73" s="44">
        <f>IF(COUNTA(L73:N73)=0, "", IF(COUNTIF(L73:N73, "Đã có (Đạt chuẩn)")=3, "ĐỦ 3 LEVEL DASHBOARD", IF(COUNTIF(L73:N73, "Chưa có")=3, "CHƯA CÓ DASHBOARD", "THIẾU DASHBOARD (" &amp; COUNTIF(L73:N73, "Đã có (Đạt chuẩn)") &amp; "/3)")))</f>
        <v/>
      </c>
      <c r="P73" s="25" t="n"/>
      <c r="Q73" s="25" t="n"/>
      <c r="R73" s="44">
        <f>IF(C73="", "", IF(P73="Đẩy thẳng Kafka / ES (Vi phạm BLOCKER)", "VI PHẠM (BLOCKER)", IF(AND(K73="ĐỦ 3 TRỤC (100%)", O73="ĐỦ 3 LEVEL DASHBOARD", P73="Qua OTel Collector (Đúng chuẩn)"), "ĐẠT CHUẨN QG2 (PASS)", IF(AND(K73="CHƯA GẮN (0%)", O73="CHƯA CÓ DASHBOARD"), "CHƯA TRIỂN KHAI", "ĐANG HOÀN THIỆN (PENDING)"))))</f>
        <v/>
      </c>
      <c r="S73" s="24" t="n"/>
      <c r="T73" s="24" t="n"/>
      <c r="U73" s="25" t="n"/>
      <c r="V73" s="24" t="n"/>
    </row>
    <row r="74" ht="24" customHeight="1">
      <c r="A74" s="44">
        <f>IF(COUNTA(B74:C74)=0, "", COUNTA($C$6:C74))</f>
        <v/>
      </c>
      <c r="B74" s="45" t="n"/>
      <c r="C74" s="46" t="n"/>
      <c r="D74" s="47" t="n"/>
      <c r="E74" s="47" t="n"/>
      <c r="F74" s="44">
        <f>IF(E74="", "", IF(OR(E74=".NET 8 (SDK v1.5+ hỗ trợ chính thức)", E74=".NET 6 / .NET 7 (SDK v1.5+ hỗ trợ chính thức)"), "Hỗ trợ chuẩn SDK (.NET 6/7/8)", "Ngoài phạm vi SDK (Dùng OTel Native)"))</f>
        <v/>
      </c>
      <c r="G74" s="47" t="n"/>
      <c r="H74" s="47" t="n"/>
      <c r="I74" s="47" t="n"/>
      <c r="J74" s="47" t="n"/>
      <c r="K74" s="44">
        <f>IF(COUNTA(H74:J74)=0, "", IF(COUNTIF(H74:J74, "Đã hoàn thành (Đạt chuẩn)")=3, "ĐỦ 3 TRỤC (100%)", IF(COUNTIF(H74:J74, "Chưa triển khai")=3, "CHƯA GẮN (0%)", "THIẾU / CHƯA ĐẠT (" &amp; COUNTIF(H74:J74, "Đã hoàn thành (Đạt chuẩn)") &amp; "/3)")))</f>
        <v/>
      </c>
      <c r="L74" s="47" t="n"/>
      <c r="M74" s="47" t="n"/>
      <c r="N74" s="47" t="n"/>
      <c r="O74" s="44">
        <f>IF(COUNTA(L74:N74)=0, "", IF(COUNTIF(L74:N74, "Đã có (Đạt chuẩn)")=3, "ĐỦ 3 LEVEL DASHBOARD", IF(COUNTIF(L74:N74, "Chưa có")=3, "CHƯA CÓ DASHBOARD", "THIẾU DASHBOARD (" &amp; COUNTIF(L74:N74, "Đã có (Đạt chuẩn)") &amp; "/3)")))</f>
        <v/>
      </c>
      <c r="P74" s="47" t="n"/>
      <c r="Q74" s="47" t="n"/>
      <c r="R74" s="44">
        <f>IF(C74="", "", IF(P74="Đẩy thẳng Kafka / ES (Vi phạm BLOCKER)", "VI PHẠM (BLOCKER)", IF(AND(K74="ĐỦ 3 TRỤC (100%)", O74="ĐỦ 3 LEVEL DASHBOARD", P74="Qua OTel Collector (Đúng chuẩn)"), "ĐẠT CHUẨN QG2 (PASS)", IF(AND(K74="CHƯA GẮN (0%)", O74="CHƯA CÓ DASHBOARD"), "CHƯA TRIỂN KHAI", "ĐANG HOÀN THIỆN (PENDING)"))))</f>
        <v/>
      </c>
      <c r="S74" s="45" t="n"/>
      <c r="T74" s="45" t="n"/>
      <c r="U74" s="47" t="n"/>
      <c r="V74" s="45" t="n"/>
    </row>
    <row r="75" ht="24" customHeight="1">
      <c r="A75" s="44">
        <f>IF(COUNTA(B75:C75)=0, "", COUNTA($C$6:C75))</f>
        <v/>
      </c>
      <c r="B75" s="24" t="n"/>
      <c r="C75" s="48" t="n"/>
      <c r="D75" s="25" t="n"/>
      <c r="E75" s="25" t="n"/>
      <c r="F75" s="44">
        <f>IF(E75="", "", IF(OR(E75=".NET 8 (SDK v1.5+ hỗ trợ chính thức)", E75=".NET 6 / .NET 7 (SDK v1.5+ hỗ trợ chính thức)"), "Hỗ trợ chuẩn SDK (.NET 6/7/8)", "Ngoài phạm vi SDK (Dùng OTel Native)"))</f>
        <v/>
      </c>
      <c r="G75" s="25" t="n"/>
      <c r="H75" s="25" t="n"/>
      <c r="I75" s="25" t="n"/>
      <c r="J75" s="25" t="n"/>
      <c r="K75" s="44">
        <f>IF(COUNTA(H75:J75)=0, "", IF(COUNTIF(H75:J75, "Đã hoàn thành (Đạt chuẩn)")=3, "ĐỦ 3 TRỤC (100%)", IF(COUNTIF(H75:J75, "Chưa triển khai")=3, "CHƯA GẮN (0%)", "THIẾU / CHƯA ĐẠT (" &amp; COUNTIF(H75:J75, "Đã hoàn thành (Đạt chuẩn)") &amp; "/3)")))</f>
        <v/>
      </c>
      <c r="L75" s="25" t="n"/>
      <c r="M75" s="25" t="n"/>
      <c r="N75" s="25" t="n"/>
      <c r="O75" s="44">
        <f>IF(COUNTA(L75:N75)=0, "", IF(COUNTIF(L75:N75, "Đã có (Đạt chuẩn)")=3, "ĐỦ 3 LEVEL DASHBOARD", IF(COUNTIF(L75:N75, "Chưa có")=3, "CHƯA CÓ DASHBOARD", "THIẾU DASHBOARD (" &amp; COUNTIF(L75:N75, "Đã có (Đạt chuẩn)") &amp; "/3)")))</f>
        <v/>
      </c>
      <c r="P75" s="25" t="n"/>
      <c r="Q75" s="25" t="n"/>
      <c r="R75" s="44">
        <f>IF(C75="", "", IF(P75="Đẩy thẳng Kafka / ES (Vi phạm BLOCKER)", "VI PHẠM (BLOCKER)", IF(AND(K75="ĐỦ 3 TRỤC (100%)", O75="ĐỦ 3 LEVEL DASHBOARD", P75="Qua OTel Collector (Đúng chuẩn)"), "ĐẠT CHUẨN QG2 (PASS)", IF(AND(K75="CHƯA GẮN (0%)", O75="CHƯA CÓ DASHBOARD"), "CHƯA TRIỂN KHAI", "ĐANG HOÀN THIỆN (PENDING)"))))</f>
        <v/>
      </c>
      <c r="S75" s="24" t="n"/>
      <c r="T75" s="24" t="n"/>
      <c r="U75" s="25" t="n"/>
      <c r="V75" s="24" t="n"/>
    </row>
    <row r="76" ht="24" customHeight="1">
      <c r="A76" s="44">
        <f>IF(COUNTA(B76:C76)=0, "", COUNTA($C$6:C76))</f>
        <v/>
      </c>
      <c r="B76" s="45" t="n"/>
      <c r="C76" s="46" t="n"/>
      <c r="D76" s="47" t="n"/>
      <c r="E76" s="47" t="n"/>
      <c r="F76" s="44">
        <f>IF(E76="", "", IF(OR(E76=".NET 8 (SDK v1.5+ hỗ trợ chính thức)", E76=".NET 6 / .NET 7 (SDK v1.5+ hỗ trợ chính thức)"), "Hỗ trợ chuẩn SDK (.NET 6/7/8)", "Ngoài phạm vi SDK (Dùng OTel Native)"))</f>
        <v/>
      </c>
      <c r="G76" s="47" t="n"/>
      <c r="H76" s="47" t="n"/>
      <c r="I76" s="47" t="n"/>
      <c r="J76" s="47" t="n"/>
      <c r="K76" s="44">
        <f>IF(COUNTA(H76:J76)=0, "", IF(COUNTIF(H76:J76, "Đã hoàn thành (Đạt chuẩn)")=3, "ĐỦ 3 TRỤC (100%)", IF(COUNTIF(H76:J76, "Chưa triển khai")=3, "CHƯA GẮN (0%)", "THIẾU / CHƯA ĐẠT (" &amp; COUNTIF(H76:J76, "Đã hoàn thành (Đạt chuẩn)") &amp; "/3)")))</f>
        <v/>
      </c>
      <c r="L76" s="47" t="n"/>
      <c r="M76" s="47" t="n"/>
      <c r="N76" s="47" t="n"/>
      <c r="O76" s="44">
        <f>IF(COUNTA(L76:N76)=0, "", IF(COUNTIF(L76:N76, "Đã có (Đạt chuẩn)")=3, "ĐỦ 3 LEVEL DASHBOARD", IF(COUNTIF(L76:N76, "Chưa có")=3, "CHƯA CÓ DASHBOARD", "THIẾU DASHBOARD (" &amp; COUNTIF(L76:N76, "Đã có (Đạt chuẩn)") &amp; "/3)")))</f>
        <v/>
      </c>
      <c r="P76" s="47" t="n"/>
      <c r="Q76" s="47" t="n"/>
      <c r="R76" s="44">
        <f>IF(C76="", "", IF(P76="Đẩy thẳng Kafka / ES (Vi phạm BLOCKER)", "VI PHẠM (BLOCKER)", IF(AND(K76="ĐỦ 3 TRỤC (100%)", O76="ĐỦ 3 LEVEL DASHBOARD", P76="Qua OTel Collector (Đúng chuẩn)"), "ĐẠT CHUẨN QG2 (PASS)", IF(AND(K76="CHƯA GẮN (0%)", O76="CHƯA CÓ DASHBOARD"), "CHƯA TRIỂN KHAI", "ĐANG HOÀN THIỆN (PENDING)"))))</f>
        <v/>
      </c>
      <c r="S76" s="45" t="n"/>
      <c r="T76" s="45" t="n"/>
      <c r="U76" s="47" t="n"/>
      <c r="V76" s="45" t="n"/>
    </row>
    <row r="77" ht="24" customHeight="1">
      <c r="A77" s="44">
        <f>IF(COUNTA(B77:C77)=0, "", COUNTA($C$6:C77))</f>
        <v/>
      </c>
      <c r="B77" s="24" t="n"/>
      <c r="C77" s="48" t="n"/>
      <c r="D77" s="25" t="n"/>
      <c r="E77" s="25" t="n"/>
      <c r="F77" s="44">
        <f>IF(E77="", "", IF(OR(E77=".NET 8 (SDK v1.5+ hỗ trợ chính thức)", E77=".NET 6 / .NET 7 (SDK v1.5+ hỗ trợ chính thức)"), "Hỗ trợ chuẩn SDK (.NET 6/7/8)", "Ngoài phạm vi SDK (Dùng OTel Native)"))</f>
        <v/>
      </c>
      <c r="G77" s="25" t="n"/>
      <c r="H77" s="25" t="n"/>
      <c r="I77" s="25" t="n"/>
      <c r="J77" s="25" t="n"/>
      <c r="K77" s="44">
        <f>IF(COUNTA(H77:J77)=0, "", IF(COUNTIF(H77:J77, "Đã hoàn thành (Đạt chuẩn)")=3, "ĐỦ 3 TRỤC (100%)", IF(COUNTIF(H77:J77, "Chưa triển khai")=3, "CHƯA GẮN (0%)", "THIẾU / CHƯA ĐẠT (" &amp; COUNTIF(H77:J77, "Đã hoàn thành (Đạt chuẩn)") &amp; "/3)")))</f>
        <v/>
      </c>
      <c r="L77" s="25" t="n"/>
      <c r="M77" s="25" t="n"/>
      <c r="N77" s="25" t="n"/>
      <c r="O77" s="44">
        <f>IF(COUNTA(L77:N77)=0, "", IF(COUNTIF(L77:N77, "Đã có (Đạt chuẩn)")=3, "ĐỦ 3 LEVEL DASHBOARD", IF(COUNTIF(L77:N77, "Chưa có")=3, "CHƯA CÓ DASHBOARD", "THIẾU DASHBOARD (" &amp; COUNTIF(L77:N77, "Đã có (Đạt chuẩn)") &amp; "/3)")))</f>
        <v/>
      </c>
      <c r="P77" s="25" t="n"/>
      <c r="Q77" s="25" t="n"/>
      <c r="R77" s="44">
        <f>IF(C77="", "", IF(P77="Đẩy thẳng Kafka / ES (Vi phạm BLOCKER)", "VI PHẠM (BLOCKER)", IF(AND(K77="ĐỦ 3 TRỤC (100%)", O77="ĐỦ 3 LEVEL DASHBOARD", P77="Qua OTel Collector (Đúng chuẩn)"), "ĐẠT CHUẨN QG2 (PASS)", IF(AND(K77="CHƯA GẮN (0%)", O77="CHƯA CÓ DASHBOARD"), "CHƯA TRIỂN KHAI", "ĐANG HOÀN THIỆN (PENDING)"))))</f>
        <v/>
      </c>
      <c r="S77" s="24" t="n"/>
      <c r="T77" s="24" t="n"/>
      <c r="U77" s="25" t="n"/>
      <c r="V77" s="24" t="n"/>
    </row>
    <row r="78" ht="24" customHeight="1">
      <c r="A78" s="44">
        <f>IF(COUNTA(B78:C78)=0, "", COUNTA($C$6:C78))</f>
        <v/>
      </c>
      <c r="B78" s="45" t="n"/>
      <c r="C78" s="46" t="n"/>
      <c r="D78" s="47" t="n"/>
      <c r="E78" s="47" t="n"/>
      <c r="F78" s="44">
        <f>IF(E78="", "", IF(OR(E78=".NET 8 (SDK v1.5+ hỗ trợ chính thức)", E78=".NET 6 / .NET 7 (SDK v1.5+ hỗ trợ chính thức)"), "Hỗ trợ chuẩn SDK (.NET 6/7/8)", "Ngoài phạm vi SDK (Dùng OTel Native)"))</f>
        <v/>
      </c>
      <c r="G78" s="47" t="n"/>
      <c r="H78" s="47" t="n"/>
      <c r="I78" s="47" t="n"/>
      <c r="J78" s="47" t="n"/>
      <c r="K78" s="44">
        <f>IF(COUNTA(H78:J78)=0, "", IF(COUNTIF(H78:J78, "Đã hoàn thành (Đạt chuẩn)")=3, "ĐỦ 3 TRỤC (100%)", IF(COUNTIF(H78:J78, "Chưa triển khai")=3, "CHƯA GẮN (0%)", "THIẾU / CHƯA ĐẠT (" &amp; COUNTIF(H78:J78, "Đã hoàn thành (Đạt chuẩn)") &amp; "/3)")))</f>
        <v/>
      </c>
      <c r="L78" s="47" t="n"/>
      <c r="M78" s="47" t="n"/>
      <c r="N78" s="47" t="n"/>
      <c r="O78" s="44">
        <f>IF(COUNTA(L78:N78)=0, "", IF(COUNTIF(L78:N78, "Đã có (Đạt chuẩn)")=3, "ĐỦ 3 LEVEL DASHBOARD", IF(COUNTIF(L78:N78, "Chưa có")=3, "CHƯA CÓ DASHBOARD", "THIẾU DASHBOARD (" &amp; COUNTIF(L78:N78, "Đã có (Đạt chuẩn)") &amp; "/3)")))</f>
        <v/>
      </c>
      <c r="P78" s="47" t="n"/>
      <c r="Q78" s="47" t="n"/>
      <c r="R78" s="44">
        <f>IF(C78="", "", IF(P78="Đẩy thẳng Kafka / ES (Vi phạm BLOCKER)", "VI PHẠM (BLOCKER)", IF(AND(K78="ĐỦ 3 TRỤC (100%)", O78="ĐỦ 3 LEVEL DASHBOARD", P78="Qua OTel Collector (Đúng chuẩn)"), "ĐẠT CHUẨN QG2 (PASS)", IF(AND(K78="CHƯA GẮN (0%)", O78="CHƯA CÓ DASHBOARD"), "CHƯA TRIỂN KHAI", "ĐANG HOÀN THIỆN (PENDING)"))))</f>
        <v/>
      </c>
      <c r="S78" s="45" t="n"/>
      <c r="T78" s="45" t="n"/>
      <c r="U78" s="47" t="n"/>
      <c r="V78" s="45" t="n"/>
    </row>
    <row r="79" ht="24" customHeight="1">
      <c r="A79" s="44">
        <f>IF(COUNTA(B79:C79)=0, "", COUNTA($C$6:C79))</f>
        <v/>
      </c>
      <c r="B79" s="24" t="n"/>
      <c r="C79" s="48" t="n"/>
      <c r="D79" s="25" t="n"/>
      <c r="E79" s="25" t="n"/>
      <c r="F79" s="44">
        <f>IF(E79="", "", IF(OR(E79=".NET 8 (SDK v1.5+ hỗ trợ chính thức)", E79=".NET 6 / .NET 7 (SDK v1.5+ hỗ trợ chính thức)"), "Hỗ trợ chuẩn SDK (.NET 6/7/8)", "Ngoài phạm vi SDK (Dùng OTel Native)"))</f>
        <v/>
      </c>
      <c r="G79" s="25" t="n"/>
      <c r="H79" s="25" t="n"/>
      <c r="I79" s="25" t="n"/>
      <c r="J79" s="25" t="n"/>
      <c r="K79" s="44">
        <f>IF(COUNTA(H79:J79)=0, "", IF(COUNTIF(H79:J79, "Đã hoàn thành (Đạt chuẩn)")=3, "ĐỦ 3 TRỤC (100%)", IF(COUNTIF(H79:J79, "Chưa triển khai")=3, "CHƯA GẮN (0%)", "THIẾU / CHƯA ĐẠT (" &amp; COUNTIF(H79:J79, "Đã hoàn thành (Đạt chuẩn)") &amp; "/3)")))</f>
        <v/>
      </c>
      <c r="L79" s="25" t="n"/>
      <c r="M79" s="25" t="n"/>
      <c r="N79" s="25" t="n"/>
      <c r="O79" s="44">
        <f>IF(COUNTA(L79:N79)=0, "", IF(COUNTIF(L79:N79, "Đã có (Đạt chuẩn)")=3, "ĐỦ 3 LEVEL DASHBOARD", IF(COUNTIF(L79:N79, "Chưa có")=3, "CHƯA CÓ DASHBOARD", "THIẾU DASHBOARD (" &amp; COUNTIF(L79:N79, "Đã có (Đạt chuẩn)") &amp; "/3)")))</f>
        <v/>
      </c>
      <c r="P79" s="25" t="n"/>
      <c r="Q79" s="25" t="n"/>
      <c r="R79" s="44">
        <f>IF(C79="", "", IF(P79="Đẩy thẳng Kafka / ES (Vi phạm BLOCKER)", "VI PHẠM (BLOCKER)", IF(AND(K79="ĐỦ 3 TRỤC (100%)", O79="ĐỦ 3 LEVEL DASHBOARD", P79="Qua OTel Collector (Đúng chuẩn)"), "ĐẠT CHUẨN QG2 (PASS)", IF(AND(K79="CHƯA GẮN (0%)", O79="CHƯA CÓ DASHBOARD"), "CHƯA TRIỂN KHAI", "ĐANG HOÀN THIỆN (PENDING)"))))</f>
        <v/>
      </c>
      <c r="S79" s="24" t="n"/>
      <c r="T79" s="24" t="n"/>
      <c r="U79" s="25" t="n"/>
      <c r="V79" s="24" t="n"/>
    </row>
    <row r="80" ht="24" customHeight="1">
      <c r="A80" s="44">
        <f>IF(COUNTA(B80:C80)=0, "", COUNTA($C$6:C80))</f>
        <v/>
      </c>
      <c r="B80" s="45" t="n"/>
      <c r="C80" s="46" t="n"/>
      <c r="D80" s="47" t="n"/>
      <c r="E80" s="47" t="n"/>
      <c r="F80" s="44">
        <f>IF(E80="", "", IF(OR(E80=".NET 8 (SDK v1.5+ hỗ trợ chính thức)", E80=".NET 6 / .NET 7 (SDK v1.5+ hỗ trợ chính thức)"), "Hỗ trợ chuẩn SDK (.NET 6/7/8)", "Ngoài phạm vi SDK (Dùng OTel Native)"))</f>
        <v/>
      </c>
      <c r="G80" s="47" t="n"/>
      <c r="H80" s="47" t="n"/>
      <c r="I80" s="47" t="n"/>
      <c r="J80" s="47" t="n"/>
      <c r="K80" s="44">
        <f>IF(COUNTA(H80:J80)=0, "", IF(COUNTIF(H80:J80, "Đã hoàn thành (Đạt chuẩn)")=3, "ĐỦ 3 TRỤC (100%)", IF(COUNTIF(H80:J80, "Chưa triển khai")=3, "CHƯA GẮN (0%)", "THIẾU / CHƯA ĐẠT (" &amp; COUNTIF(H80:J80, "Đã hoàn thành (Đạt chuẩn)") &amp; "/3)")))</f>
        <v/>
      </c>
      <c r="L80" s="47" t="n"/>
      <c r="M80" s="47" t="n"/>
      <c r="N80" s="47" t="n"/>
      <c r="O80" s="44">
        <f>IF(COUNTA(L80:N80)=0, "", IF(COUNTIF(L80:N80, "Đã có (Đạt chuẩn)")=3, "ĐỦ 3 LEVEL DASHBOARD", IF(COUNTIF(L80:N80, "Chưa có")=3, "CHƯA CÓ DASHBOARD", "THIẾU DASHBOARD (" &amp; COUNTIF(L80:N80, "Đã có (Đạt chuẩn)") &amp; "/3)")))</f>
        <v/>
      </c>
      <c r="P80" s="47" t="n"/>
      <c r="Q80" s="47" t="n"/>
      <c r="R80" s="44">
        <f>IF(C80="", "", IF(P80="Đẩy thẳng Kafka / ES (Vi phạm BLOCKER)", "VI PHẠM (BLOCKER)", IF(AND(K80="ĐỦ 3 TRỤC (100%)", O80="ĐỦ 3 LEVEL DASHBOARD", P80="Qua OTel Collector (Đúng chuẩn)"), "ĐẠT CHUẨN QG2 (PASS)", IF(AND(K80="CHƯA GẮN (0%)", O80="CHƯA CÓ DASHBOARD"), "CHƯA TRIỂN KHAI", "ĐANG HOÀN THIỆN (PENDING)"))))</f>
        <v/>
      </c>
      <c r="S80" s="45" t="n"/>
      <c r="T80" s="45" t="n"/>
      <c r="U80" s="47" t="n"/>
      <c r="V80" s="45" t="n"/>
    </row>
    <row r="81" ht="24" customHeight="1">
      <c r="A81" s="44">
        <f>IF(COUNTA(B81:C81)=0, "", COUNTA($C$6:C81))</f>
        <v/>
      </c>
      <c r="B81" s="24" t="n"/>
      <c r="C81" s="48" t="n"/>
      <c r="D81" s="25" t="n"/>
      <c r="E81" s="25" t="n"/>
      <c r="F81" s="44">
        <f>IF(E81="", "", IF(OR(E81=".NET 8 (SDK v1.5+ hỗ trợ chính thức)", E81=".NET 6 / .NET 7 (SDK v1.5+ hỗ trợ chính thức)"), "Hỗ trợ chuẩn SDK (.NET 6/7/8)", "Ngoài phạm vi SDK (Dùng OTel Native)"))</f>
        <v/>
      </c>
      <c r="G81" s="25" t="n"/>
      <c r="H81" s="25" t="n"/>
      <c r="I81" s="25" t="n"/>
      <c r="J81" s="25" t="n"/>
      <c r="K81" s="44">
        <f>IF(COUNTA(H81:J81)=0, "", IF(COUNTIF(H81:J81, "Đã hoàn thành (Đạt chuẩn)")=3, "ĐỦ 3 TRỤC (100%)", IF(COUNTIF(H81:J81, "Chưa triển khai")=3, "CHƯA GẮN (0%)", "THIẾU / CHƯA ĐẠT (" &amp; COUNTIF(H81:J81, "Đã hoàn thành (Đạt chuẩn)") &amp; "/3)")))</f>
        <v/>
      </c>
      <c r="L81" s="25" t="n"/>
      <c r="M81" s="25" t="n"/>
      <c r="N81" s="25" t="n"/>
      <c r="O81" s="44">
        <f>IF(COUNTA(L81:N81)=0, "", IF(COUNTIF(L81:N81, "Đã có (Đạt chuẩn)")=3, "ĐỦ 3 LEVEL DASHBOARD", IF(COUNTIF(L81:N81, "Chưa có")=3, "CHƯA CÓ DASHBOARD", "THIẾU DASHBOARD (" &amp; COUNTIF(L81:N81, "Đã có (Đạt chuẩn)") &amp; "/3)")))</f>
        <v/>
      </c>
      <c r="P81" s="25" t="n"/>
      <c r="Q81" s="25" t="n"/>
      <c r="R81" s="44">
        <f>IF(C81="", "", IF(P81="Đẩy thẳng Kafka / ES (Vi phạm BLOCKER)", "VI PHẠM (BLOCKER)", IF(AND(K81="ĐỦ 3 TRỤC (100%)", O81="ĐỦ 3 LEVEL DASHBOARD", P81="Qua OTel Collector (Đúng chuẩn)"), "ĐẠT CHUẨN QG2 (PASS)", IF(AND(K81="CHƯA GẮN (0%)", O81="CHƯA CÓ DASHBOARD"), "CHƯA TRIỂN KHAI", "ĐANG HOÀN THIỆN (PENDING)"))))</f>
        <v/>
      </c>
      <c r="S81" s="24" t="n"/>
      <c r="T81" s="24" t="n"/>
      <c r="U81" s="25" t="n"/>
      <c r="V81" s="24" t="n"/>
    </row>
    <row r="82" ht="24" customHeight="1">
      <c r="A82" s="44">
        <f>IF(COUNTA(B82:C82)=0, "", COUNTA($C$6:C82))</f>
        <v/>
      </c>
      <c r="B82" s="45" t="n"/>
      <c r="C82" s="46" t="n"/>
      <c r="D82" s="47" t="n"/>
      <c r="E82" s="47" t="n"/>
      <c r="F82" s="44">
        <f>IF(E82="", "", IF(OR(E82=".NET 8 (SDK v1.5+ hỗ trợ chính thức)", E82=".NET 6 / .NET 7 (SDK v1.5+ hỗ trợ chính thức)"), "Hỗ trợ chuẩn SDK (.NET 6/7/8)", "Ngoài phạm vi SDK (Dùng OTel Native)"))</f>
        <v/>
      </c>
      <c r="G82" s="47" t="n"/>
      <c r="H82" s="47" t="n"/>
      <c r="I82" s="47" t="n"/>
      <c r="J82" s="47" t="n"/>
      <c r="K82" s="44">
        <f>IF(COUNTA(H82:J82)=0, "", IF(COUNTIF(H82:J82, "Đã hoàn thành (Đạt chuẩn)")=3, "ĐỦ 3 TRỤC (100%)", IF(COUNTIF(H82:J82, "Chưa triển khai")=3, "CHƯA GẮN (0%)", "THIẾU / CHƯA ĐẠT (" &amp; COUNTIF(H82:J82, "Đã hoàn thành (Đạt chuẩn)") &amp; "/3)")))</f>
        <v/>
      </c>
      <c r="L82" s="47" t="n"/>
      <c r="M82" s="47" t="n"/>
      <c r="N82" s="47" t="n"/>
      <c r="O82" s="44">
        <f>IF(COUNTA(L82:N82)=0, "", IF(COUNTIF(L82:N82, "Đã có (Đạt chuẩn)")=3, "ĐỦ 3 LEVEL DASHBOARD", IF(COUNTIF(L82:N82, "Chưa có")=3, "CHƯA CÓ DASHBOARD", "THIẾU DASHBOARD (" &amp; COUNTIF(L82:N82, "Đã có (Đạt chuẩn)") &amp; "/3)")))</f>
        <v/>
      </c>
      <c r="P82" s="47" t="n"/>
      <c r="Q82" s="47" t="n"/>
      <c r="R82" s="44">
        <f>IF(C82="", "", IF(P82="Đẩy thẳng Kafka / ES (Vi phạm BLOCKER)", "VI PHẠM (BLOCKER)", IF(AND(K82="ĐỦ 3 TRỤC (100%)", O82="ĐỦ 3 LEVEL DASHBOARD", P82="Qua OTel Collector (Đúng chuẩn)"), "ĐẠT CHUẨN QG2 (PASS)", IF(AND(K82="CHƯA GẮN (0%)", O82="CHƯA CÓ DASHBOARD"), "CHƯA TRIỂN KHAI", "ĐANG HOÀN THIỆN (PENDING)"))))</f>
        <v/>
      </c>
      <c r="S82" s="45" t="n"/>
      <c r="T82" s="45" t="n"/>
      <c r="U82" s="47" t="n"/>
      <c r="V82" s="45" t="n"/>
    </row>
    <row r="83" ht="24" customHeight="1">
      <c r="A83" s="44">
        <f>IF(COUNTA(B83:C83)=0, "", COUNTA($C$6:C83))</f>
        <v/>
      </c>
      <c r="B83" s="24" t="n"/>
      <c r="C83" s="48" t="n"/>
      <c r="D83" s="25" t="n"/>
      <c r="E83" s="25" t="n"/>
      <c r="F83" s="44">
        <f>IF(E83="", "", IF(OR(E83=".NET 8 (SDK v1.5+ hỗ trợ chính thức)", E83=".NET 6 / .NET 7 (SDK v1.5+ hỗ trợ chính thức)"), "Hỗ trợ chuẩn SDK (.NET 6/7/8)", "Ngoài phạm vi SDK (Dùng OTel Native)"))</f>
        <v/>
      </c>
      <c r="G83" s="25" t="n"/>
      <c r="H83" s="25" t="n"/>
      <c r="I83" s="25" t="n"/>
      <c r="J83" s="25" t="n"/>
      <c r="K83" s="44">
        <f>IF(COUNTA(H83:J83)=0, "", IF(COUNTIF(H83:J83, "Đã hoàn thành (Đạt chuẩn)")=3, "ĐỦ 3 TRỤC (100%)", IF(COUNTIF(H83:J83, "Chưa triển khai")=3, "CHƯA GẮN (0%)", "THIẾU / CHƯA ĐẠT (" &amp; COUNTIF(H83:J83, "Đã hoàn thành (Đạt chuẩn)") &amp; "/3)")))</f>
        <v/>
      </c>
      <c r="L83" s="25" t="n"/>
      <c r="M83" s="25" t="n"/>
      <c r="N83" s="25" t="n"/>
      <c r="O83" s="44">
        <f>IF(COUNTA(L83:N83)=0, "", IF(COUNTIF(L83:N83, "Đã có (Đạt chuẩn)")=3, "ĐỦ 3 LEVEL DASHBOARD", IF(COUNTIF(L83:N83, "Chưa có")=3, "CHƯA CÓ DASHBOARD", "THIẾU DASHBOARD (" &amp; COUNTIF(L83:N83, "Đã có (Đạt chuẩn)") &amp; "/3)")))</f>
        <v/>
      </c>
      <c r="P83" s="25" t="n"/>
      <c r="Q83" s="25" t="n"/>
      <c r="R83" s="44">
        <f>IF(C83="", "", IF(P83="Đẩy thẳng Kafka / ES (Vi phạm BLOCKER)", "VI PHẠM (BLOCKER)", IF(AND(K83="ĐỦ 3 TRỤC (100%)", O83="ĐỦ 3 LEVEL DASHBOARD", P83="Qua OTel Collector (Đúng chuẩn)"), "ĐẠT CHUẨN QG2 (PASS)", IF(AND(K83="CHƯA GẮN (0%)", O83="CHƯA CÓ DASHBOARD"), "CHƯA TRIỂN KHAI", "ĐANG HOÀN THIỆN (PENDING)"))))</f>
        <v/>
      </c>
      <c r="S83" s="24" t="n"/>
      <c r="T83" s="24" t="n"/>
      <c r="U83" s="25" t="n"/>
      <c r="V83" s="24" t="n"/>
    </row>
    <row r="84" ht="24" customHeight="1">
      <c r="A84" s="44">
        <f>IF(COUNTA(B84:C84)=0, "", COUNTA($C$6:C84))</f>
        <v/>
      </c>
      <c r="B84" s="45" t="n"/>
      <c r="C84" s="46" t="n"/>
      <c r="D84" s="47" t="n"/>
      <c r="E84" s="47" t="n"/>
      <c r="F84" s="44">
        <f>IF(E84="", "", IF(OR(E84=".NET 8 (SDK v1.5+ hỗ trợ chính thức)", E84=".NET 6 / .NET 7 (SDK v1.5+ hỗ trợ chính thức)"), "Hỗ trợ chuẩn SDK (.NET 6/7/8)", "Ngoài phạm vi SDK (Dùng OTel Native)"))</f>
        <v/>
      </c>
      <c r="G84" s="47" t="n"/>
      <c r="H84" s="47" t="n"/>
      <c r="I84" s="47" t="n"/>
      <c r="J84" s="47" t="n"/>
      <c r="K84" s="44">
        <f>IF(COUNTA(H84:J84)=0, "", IF(COUNTIF(H84:J84, "Đã hoàn thành (Đạt chuẩn)")=3, "ĐỦ 3 TRỤC (100%)", IF(COUNTIF(H84:J84, "Chưa triển khai")=3, "CHƯA GẮN (0%)", "THIẾU / CHƯA ĐẠT (" &amp; COUNTIF(H84:J84, "Đã hoàn thành (Đạt chuẩn)") &amp; "/3)")))</f>
        <v/>
      </c>
      <c r="L84" s="47" t="n"/>
      <c r="M84" s="47" t="n"/>
      <c r="N84" s="47" t="n"/>
      <c r="O84" s="44">
        <f>IF(COUNTA(L84:N84)=0, "", IF(COUNTIF(L84:N84, "Đã có (Đạt chuẩn)")=3, "ĐỦ 3 LEVEL DASHBOARD", IF(COUNTIF(L84:N84, "Chưa có")=3, "CHƯA CÓ DASHBOARD", "THIẾU DASHBOARD (" &amp; COUNTIF(L84:N84, "Đã có (Đạt chuẩn)") &amp; "/3)")))</f>
        <v/>
      </c>
      <c r="P84" s="47" t="n"/>
      <c r="Q84" s="47" t="n"/>
      <c r="R84" s="44">
        <f>IF(C84="", "", IF(P84="Đẩy thẳng Kafka / ES (Vi phạm BLOCKER)", "VI PHẠM (BLOCKER)", IF(AND(K84="ĐỦ 3 TRỤC (100%)", O84="ĐỦ 3 LEVEL DASHBOARD", P84="Qua OTel Collector (Đúng chuẩn)"), "ĐẠT CHUẨN QG2 (PASS)", IF(AND(K84="CHƯA GẮN (0%)", O84="CHƯA CÓ DASHBOARD"), "CHƯA TRIỂN KHAI", "ĐANG HOÀN THIỆN (PENDING)"))))</f>
        <v/>
      </c>
      <c r="S84" s="45" t="n"/>
      <c r="T84" s="45" t="n"/>
      <c r="U84" s="47" t="n"/>
      <c r="V84" s="45" t="n"/>
    </row>
    <row r="85" ht="24" customHeight="1">
      <c r="A85" s="44">
        <f>IF(COUNTA(B85:C85)=0, "", COUNTA($C$6:C85))</f>
        <v/>
      </c>
      <c r="B85" s="24" t="n"/>
      <c r="C85" s="48" t="n"/>
      <c r="D85" s="25" t="n"/>
      <c r="E85" s="25" t="n"/>
      <c r="F85" s="44">
        <f>IF(E85="", "", IF(OR(E85=".NET 8 (SDK v1.5+ hỗ trợ chính thức)", E85=".NET 6 / .NET 7 (SDK v1.5+ hỗ trợ chính thức)"), "Hỗ trợ chuẩn SDK (.NET 6/7/8)", "Ngoài phạm vi SDK (Dùng OTel Native)"))</f>
        <v/>
      </c>
      <c r="G85" s="25" t="n"/>
      <c r="H85" s="25" t="n"/>
      <c r="I85" s="25" t="n"/>
      <c r="J85" s="25" t="n"/>
      <c r="K85" s="44">
        <f>IF(COUNTA(H85:J85)=0, "", IF(COUNTIF(H85:J85, "Đã hoàn thành (Đạt chuẩn)")=3, "ĐỦ 3 TRỤC (100%)", IF(COUNTIF(H85:J85, "Chưa triển khai")=3, "CHƯA GẮN (0%)", "THIẾU / CHƯA ĐẠT (" &amp; COUNTIF(H85:J85, "Đã hoàn thành (Đạt chuẩn)") &amp; "/3)")))</f>
        <v/>
      </c>
      <c r="L85" s="25" t="n"/>
      <c r="M85" s="25" t="n"/>
      <c r="N85" s="25" t="n"/>
      <c r="O85" s="44">
        <f>IF(COUNTA(L85:N85)=0, "", IF(COUNTIF(L85:N85, "Đã có (Đạt chuẩn)")=3, "ĐỦ 3 LEVEL DASHBOARD", IF(COUNTIF(L85:N85, "Chưa có")=3, "CHƯA CÓ DASHBOARD", "THIẾU DASHBOARD (" &amp; COUNTIF(L85:N85, "Đã có (Đạt chuẩn)") &amp; "/3)")))</f>
        <v/>
      </c>
      <c r="P85" s="25" t="n"/>
      <c r="Q85" s="25" t="n"/>
      <c r="R85" s="44">
        <f>IF(C85="", "", IF(P85="Đẩy thẳng Kafka / ES (Vi phạm BLOCKER)", "VI PHẠM (BLOCKER)", IF(AND(K85="ĐỦ 3 TRỤC (100%)", O85="ĐỦ 3 LEVEL DASHBOARD", P85="Qua OTel Collector (Đúng chuẩn)"), "ĐẠT CHUẨN QG2 (PASS)", IF(AND(K85="CHƯA GẮN (0%)", O85="CHƯA CÓ DASHBOARD"), "CHƯA TRIỂN KHAI", "ĐANG HOÀN THIỆN (PENDING)"))))</f>
        <v/>
      </c>
      <c r="S85" s="24" t="n"/>
      <c r="T85" s="24" t="n"/>
      <c r="U85" s="25" t="n"/>
      <c r="V85" s="24" t="n"/>
    </row>
    <row r="86" ht="24" customHeight="1">
      <c r="A86" s="44">
        <f>IF(COUNTA(B86:C86)=0, "", COUNTA($C$6:C86))</f>
        <v/>
      </c>
      <c r="B86" s="45" t="n"/>
      <c r="C86" s="46" t="n"/>
      <c r="D86" s="47" t="n"/>
      <c r="E86" s="47" t="n"/>
      <c r="F86" s="44">
        <f>IF(E86="", "", IF(OR(E86=".NET 8 (SDK v1.5+ hỗ trợ chính thức)", E86=".NET 6 / .NET 7 (SDK v1.5+ hỗ trợ chính thức)"), "Hỗ trợ chuẩn SDK (.NET 6/7/8)", "Ngoài phạm vi SDK (Dùng OTel Native)"))</f>
        <v/>
      </c>
      <c r="G86" s="47" t="n"/>
      <c r="H86" s="47" t="n"/>
      <c r="I86" s="47" t="n"/>
      <c r="J86" s="47" t="n"/>
      <c r="K86" s="44">
        <f>IF(COUNTA(H86:J86)=0, "", IF(COUNTIF(H86:J86, "Đã hoàn thành (Đạt chuẩn)")=3, "ĐỦ 3 TRỤC (100%)", IF(COUNTIF(H86:J86, "Chưa triển khai")=3, "CHƯA GẮN (0%)", "THIẾU / CHƯA ĐẠT (" &amp; COUNTIF(H86:J86, "Đã hoàn thành (Đạt chuẩn)") &amp; "/3)")))</f>
        <v/>
      </c>
      <c r="L86" s="47" t="n"/>
      <c r="M86" s="47" t="n"/>
      <c r="N86" s="47" t="n"/>
      <c r="O86" s="44">
        <f>IF(COUNTA(L86:N86)=0, "", IF(COUNTIF(L86:N86, "Đã có (Đạt chuẩn)")=3, "ĐỦ 3 LEVEL DASHBOARD", IF(COUNTIF(L86:N86, "Chưa có")=3, "CHƯA CÓ DASHBOARD", "THIẾU DASHBOARD (" &amp; COUNTIF(L86:N86, "Đã có (Đạt chuẩn)") &amp; "/3)")))</f>
        <v/>
      </c>
      <c r="P86" s="47" t="n"/>
      <c r="Q86" s="47" t="n"/>
      <c r="R86" s="44">
        <f>IF(C86="", "", IF(P86="Đẩy thẳng Kafka / ES (Vi phạm BLOCKER)", "VI PHẠM (BLOCKER)", IF(AND(K86="ĐỦ 3 TRỤC (100%)", O86="ĐỦ 3 LEVEL DASHBOARD", P86="Qua OTel Collector (Đúng chuẩn)"), "ĐẠT CHUẨN QG2 (PASS)", IF(AND(K86="CHƯA GẮN (0%)", O86="CHƯA CÓ DASHBOARD"), "CHƯA TRIỂN KHAI", "ĐANG HOÀN THIỆN (PENDING)"))))</f>
        <v/>
      </c>
      <c r="S86" s="45" t="n"/>
      <c r="T86" s="45" t="n"/>
      <c r="U86" s="47" t="n"/>
      <c r="V86" s="45" t="n"/>
    </row>
    <row r="87" ht="24" customHeight="1">
      <c r="A87" s="44">
        <f>IF(COUNTA(B87:C87)=0, "", COUNTA($C$6:C87))</f>
        <v/>
      </c>
      <c r="B87" s="24" t="n"/>
      <c r="C87" s="48" t="n"/>
      <c r="D87" s="25" t="n"/>
      <c r="E87" s="25" t="n"/>
      <c r="F87" s="44">
        <f>IF(E87="", "", IF(OR(E87=".NET 8 (SDK v1.5+ hỗ trợ chính thức)", E87=".NET 6 / .NET 7 (SDK v1.5+ hỗ trợ chính thức)"), "Hỗ trợ chuẩn SDK (.NET 6/7/8)", "Ngoài phạm vi SDK (Dùng OTel Native)"))</f>
        <v/>
      </c>
      <c r="G87" s="25" t="n"/>
      <c r="H87" s="25" t="n"/>
      <c r="I87" s="25" t="n"/>
      <c r="J87" s="25" t="n"/>
      <c r="K87" s="44">
        <f>IF(COUNTA(H87:J87)=0, "", IF(COUNTIF(H87:J87, "Đã hoàn thành (Đạt chuẩn)")=3, "ĐỦ 3 TRỤC (100%)", IF(COUNTIF(H87:J87, "Chưa triển khai")=3, "CHƯA GẮN (0%)", "THIẾU / CHƯA ĐẠT (" &amp; COUNTIF(H87:J87, "Đã hoàn thành (Đạt chuẩn)") &amp; "/3)")))</f>
        <v/>
      </c>
      <c r="L87" s="25" t="n"/>
      <c r="M87" s="25" t="n"/>
      <c r="N87" s="25" t="n"/>
      <c r="O87" s="44">
        <f>IF(COUNTA(L87:N87)=0, "", IF(COUNTIF(L87:N87, "Đã có (Đạt chuẩn)")=3, "ĐỦ 3 LEVEL DASHBOARD", IF(COUNTIF(L87:N87, "Chưa có")=3, "CHƯA CÓ DASHBOARD", "THIẾU DASHBOARD (" &amp; COUNTIF(L87:N87, "Đã có (Đạt chuẩn)") &amp; "/3)")))</f>
        <v/>
      </c>
      <c r="P87" s="25" t="n"/>
      <c r="Q87" s="25" t="n"/>
      <c r="R87" s="44">
        <f>IF(C87="", "", IF(P87="Đẩy thẳng Kafka / ES (Vi phạm BLOCKER)", "VI PHẠM (BLOCKER)", IF(AND(K87="ĐỦ 3 TRỤC (100%)", O87="ĐỦ 3 LEVEL DASHBOARD", P87="Qua OTel Collector (Đúng chuẩn)"), "ĐẠT CHUẨN QG2 (PASS)", IF(AND(K87="CHƯA GẮN (0%)", O87="CHƯA CÓ DASHBOARD"), "CHƯA TRIỂN KHAI", "ĐANG HOÀN THIỆN (PENDING)"))))</f>
        <v/>
      </c>
      <c r="S87" s="24" t="n"/>
      <c r="T87" s="24" t="n"/>
      <c r="U87" s="25" t="n"/>
      <c r="V87" s="24" t="n"/>
    </row>
    <row r="88" ht="24" customHeight="1">
      <c r="A88" s="44">
        <f>IF(COUNTA(B88:C88)=0, "", COUNTA($C$6:C88))</f>
        <v/>
      </c>
      <c r="B88" s="45" t="n"/>
      <c r="C88" s="46" t="n"/>
      <c r="D88" s="47" t="n"/>
      <c r="E88" s="47" t="n"/>
      <c r="F88" s="44">
        <f>IF(E88="", "", IF(OR(E88=".NET 8 (SDK v1.5+ hỗ trợ chính thức)", E88=".NET 6 / .NET 7 (SDK v1.5+ hỗ trợ chính thức)"), "Hỗ trợ chuẩn SDK (.NET 6/7/8)", "Ngoài phạm vi SDK (Dùng OTel Native)"))</f>
        <v/>
      </c>
      <c r="G88" s="47" t="n"/>
      <c r="H88" s="47" t="n"/>
      <c r="I88" s="47" t="n"/>
      <c r="J88" s="47" t="n"/>
      <c r="K88" s="44">
        <f>IF(COUNTA(H88:J88)=0, "", IF(COUNTIF(H88:J88, "Đã hoàn thành (Đạt chuẩn)")=3, "ĐỦ 3 TRỤC (100%)", IF(COUNTIF(H88:J88, "Chưa triển khai")=3, "CHƯA GẮN (0%)", "THIẾU / CHƯA ĐẠT (" &amp; COUNTIF(H88:J88, "Đã hoàn thành (Đạt chuẩn)") &amp; "/3)")))</f>
        <v/>
      </c>
      <c r="L88" s="47" t="n"/>
      <c r="M88" s="47" t="n"/>
      <c r="N88" s="47" t="n"/>
      <c r="O88" s="44">
        <f>IF(COUNTA(L88:N88)=0, "", IF(COUNTIF(L88:N88, "Đã có (Đạt chuẩn)")=3, "ĐỦ 3 LEVEL DASHBOARD", IF(COUNTIF(L88:N88, "Chưa có")=3, "CHƯA CÓ DASHBOARD", "THIẾU DASHBOARD (" &amp; COUNTIF(L88:N88, "Đã có (Đạt chuẩn)") &amp; "/3)")))</f>
        <v/>
      </c>
      <c r="P88" s="47" t="n"/>
      <c r="Q88" s="47" t="n"/>
      <c r="R88" s="44">
        <f>IF(C88="", "", IF(P88="Đẩy thẳng Kafka / ES (Vi phạm BLOCKER)", "VI PHẠM (BLOCKER)", IF(AND(K88="ĐỦ 3 TRỤC (100%)", O88="ĐỦ 3 LEVEL DASHBOARD", P88="Qua OTel Collector (Đúng chuẩn)"), "ĐẠT CHUẨN QG2 (PASS)", IF(AND(K88="CHƯA GẮN (0%)", O88="CHƯA CÓ DASHBOARD"), "CHƯA TRIỂN KHAI", "ĐANG HOÀN THIỆN (PENDING)"))))</f>
        <v/>
      </c>
      <c r="S88" s="45" t="n"/>
      <c r="T88" s="45" t="n"/>
      <c r="U88" s="47" t="n"/>
      <c r="V88" s="45" t="n"/>
    </row>
    <row r="89" ht="24" customHeight="1">
      <c r="A89" s="44">
        <f>IF(COUNTA(B89:C89)=0, "", COUNTA($C$6:C89))</f>
        <v/>
      </c>
      <c r="B89" s="24" t="n"/>
      <c r="C89" s="48" t="n"/>
      <c r="D89" s="25" t="n"/>
      <c r="E89" s="25" t="n"/>
      <c r="F89" s="44">
        <f>IF(E89="", "", IF(OR(E89=".NET 8 (SDK v1.5+ hỗ trợ chính thức)", E89=".NET 6 / .NET 7 (SDK v1.5+ hỗ trợ chính thức)"), "Hỗ trợ chuẩn SDK (.NET 6/7/8)", "Ngoài phạm vi SDK (Dùng OTel Native)"))</f>
        <v/>
      </c>
      <c r="G89" s="25" t="n"/>
      <c r="H89" s="25" t="n"/>
      <c r="I89" s="25" t="n"/>
      <c r="J89" s="25" t="n"/>
      <c r="K89" s="44">
        <f>IF(COUNTA(H89:J89)=0, "", IF(COUNTIF(H89:J89, "Đã hoàn thành (Đạt chuẩn)")=3, "ĐỦ 3 TRỤC (100%)", IF(COUNTIF(H89:J89, "Chưa triển khai")=3, "CHƯA GẮN (0%)", "THIẾU / CHƯA ĐẠT (" &amp; COUNTIF(H89:J89, "Đã hoàn thành (Đạt chuẩn)") &amp; "/3)")))</f>
        <v/>
      </c>
      <c r="L89" s="25" t="n"/>
      <c r="M89" s="25" t="n"/>
      <c r="N89" s="25" t="n"/>
      <c r="O89" s="44">
        <f>IF(COUNTA(L89:N89)=0, "", IF(COUNTIF(L89:N89, "Đã có (Đạt chuẩn)")=3, "ĐỦ 3 LEVEL DASHBOARD", IF(COUNTIF(L89:N89, "Chưa có")=3, "CHƯA CÓ DASHBOARD", "THIẾU DASHBOARD (" &amp; COUNTIF(L89:N89, "Đã có (Đạt chuẩn)") &amp; "/3)")))</f>
        <v/>
      </c>
      <c r="P89" s="25" t="n"/>
      <c r="Q89" s="25" t="n"/>
      <c r="R89" s="44">
        <f>IF(C89="", "", IF(P89="Đẩy thẳng Kafka / ES (Vi phạm BLOCKER)", "VI PHẠM (BLOCKER)", IF(AND(K89="ĐỦ 3 TRỤC (100%)", O89="ĐỦ 3 LEVEL DASHBOARD", P89="Qua OTel Collector (Đúng chuẩn)"), "ĐẠT CHUẨN QG2 (PASS)", IF(AND(K89="CHƯA GẮN (0%)", O89="CHƯA CÓ DASHBOARD"), "CHƯA TRIỂN KHAI", "ĐANG HOÀN THIỆN (PENDING)"))))</f>
        <v/>
      </c>
      <c r="S89" s="24" t="n"/>
      <c r="T89" s="24" t="n"/>
      <c r="U89" s="25" t="n"/>
      <c r="V89" s="24" t="n"/>
    </row>
    <row r="90" ht="24" customHeight="1">
      <c r="A90" s="44">
        <f>IF(COUNTA(B90:C90)=0, "", COUNTA($C$6:C90))</f>
        <v/>
      </c>
      <c r="B90" s="45" t="n"/>
      <c r="C90" s="46" t="n"/>
      <c r="D90" s="47" t="n"/>
      <c r="E90" s="47" t="n"/>
      <c r="F90" s="44">
        <f>IF(E90="", "", IF(OR(E90=".NET 8 (SDK v1.5+ hỗ trợ chính thức)", E90=".NET 6 / .NET 7 (SDK v1.5+ hỗ trợ chính thức)"), "Hỗ trợ chuẩn SDK (.NET 6/7/8)", "Ngoài phạm vi SDK (Dùng OTel Native)"))</f>
        <v/>
      </c>
      <c r="G90" s="47" t="n"/>
      <c r="H90" s="47" t="n"/>
      <c r="I90" s="47" t="n"/>
      <c r="J90" s="47" t="n"/>
      <c r="K90" s="44">
        <f>IF(COUNTA(H90:J90)=0, "", IF(COUNTIF(H90:J90, "Đã hoàn thành (Đạt chuẩn)")=3, "ĐỦ 3 TRỤC (100%)", IF(COUNTIF(H90:J90, "Chưa triển khai")=3, "CHƯA GẮN (0%)", "THIẾU / CHƯA ĐẠT (" &amp; COUNTIF(H90:J90, "Đã hoàn thành (Đạt chuẩn)") &amp; "/3)")))</f>
        <v/>
      </c>
      <c r="L90" s="47" t="n"/>
      <c r="M90" s="47" t="n"/>
      <c r="N90" s="47" t="n"/>
      <c r="O90" s="44">
        <f>IF(COUNTA(L90:N90)=0, "", IF(COUNTIF(L90:N90, "Đã có (Đạt chuẩn)")=3, "ĐỦ 3 LEVEL DASHBOARD", IF(COUNTIF(L90:N90, "Chưa có")=3, "CHƯA CÓ DASHBOARD", "THIẾU DASHBOARD (" &amp; COUNTIF(L90:N90, "Đã có (Đạt chuẩn)") &amp; "/3)")))</f>
        <v/>
      </c>
      <c r="P90" s="47" t="n"/>
      <c r="Q90" s="47" t="n"/>
      <c r="R90" s="44">
        <f>IF(C90="", "", IF(P90="Đẩy thẳng Kafka / ES (Vi phạm BLOCKER)", "VI PHẠM (BLOCKER)", IF(AND(K90="ĐỦ 3 TRỤC (100%)", O90="ĐỦ 3 LEVEL DASHBOARD", P90="Qua OTel Collector (Đúng chuẩn)"), "ĐẠT CHUẨN QG2 (PASS)", IF(AND(K90="CHƯA GẮN (0%)", O90="CHƯA CÓ DASHBOARD"), "CHƯA TRIỂN KHAI", "ĐANG HOÀN THIỆN (PENDING)"))))</f>
        <v/>
      </c>
      <c r="S90" s="45" t="n"/>
      <c r="T90" s="45" t="n"/>
      <c r="U90" s="47" t="n"/>
      <c r="V90" s="45" t="n"/>
    </row>
    <row r="91" ht="24" customHeight="1">
      <c r="A91" s="44">
        <f>IF(COUNTA(B91:C91)=0, "", COUNTA($C$6:C91))</f>
        <v/>
      </c>
      <c r="B91" s="24" t="n"/>
      <c r="C91" s="48" t="n"/>
      <c r="D91" s="25" t="n"/>
      <c r="E91" s="25" t="n"/>
      <c r="F91" s="44">
        <f>IF(E91="", "", IF(OR(E91=".NET 8 (SDK v1.5+ hỗ trợ chính thức)", E91=".NET 6 / .NET 7 (SDK v1.5+ hỗ trợ chính thức)"), "Hỗ trợ chuẩn SDK (.NET 6/7/8)", "Ngoài phạm vi SDK (Dùng OTel Native)"))</f>
        <v/>
      </c>
      <c r="G91" s="25" t="n"/>
      <c r="H91" s="25" t="n"/>
      <c r="I91" s="25" t="n"/>
      <c r="J91" s="25" t="n"/>
      <c r="K91" s="44">
        <f>IF(COUNTA(H91:J91)=0, "", IF(COUNTIF(H91:J91, "Đã hoàn thành (Đạt chuẩn)")=3, "ĐỦ 3 TRỤC (100%)", IF(COUNTIF(H91:J91, "Chưa triển khai")=3, "CHƯA GẮN (0%)", "THIẾU / CHƯA ĐẠT (" &amp; COUNTIF(H91:J91, "Đã hoàn thành (Đạt chuẩn)") &amp; "/3)")))</f>
        <v/>
      </c>
      <c r="L91" s="25" t="n"/>
      <c r="M91" s="25" t="n"/>
      <c r="N91" s="25" t="n"/>
      <c r="O91" s="44">
        <f>IF(COUNTA(L91:N91)=0, "", IF(COUNTIF(L91:N91, "Đã có (Đạt chuẩn)")=3, "ĐỦ 3 LEVEL DASHBOARD", IF(COUNTIF(L91:N91, "Chưa có")=3, "CHƯA CÓ DASHBOARD", "THIẾU DASHBOARD (" &amp; COUNTIF(L91:N91, "Đã có (Đạt chuẩn)") &amp; "/3)")))</f>
        <v/>
      </c>
      <c r="P91" s="25" t="n"/>
      <c r="Q91" s="25" t="n"/>
      <c r="R91" s="44">
        <f>IF(C91="", "", IF(P91="Đẩy thẳng Kafka / ES (Vi phạm BLOCKER)", "VI PHẠM (BLOCKER)", IF(AND(K91="ĐỦ 3 TRỤC (100%)", O91="ĐỦ 3 LEVEL DASHBOARD", P91="Qua OTel Collector (Đúng chuẩn)"), "ĐẠT CHUẨN QG2 (PASS)", IF(AND(K91="CHƯA GẮN (0%)", O91="CHƯA CÓ DASHBOARD"), "CHƯA TRIỂN KHAI", "ĐANG HOÀN THIỆN (PENDING)"))))</f>
        <v/>
      </c>
      <c r="S91" s="24" t="n"/>
      <c r="T91" s="24" t="n"/>
      <c r="U91" s="25" t="n"/>
      <c r="V91" s="24" t="n"/>
    </row>
    <row r="92" ht="24" customHeight="1">
      <c r="A92" s="44">
        <f>IF(COUNTA(B92:C92)=0, "", COUNTA($C$6:C92))</f>
        <v/>
      </c>
      <c r="B92" s="45" t="n"/>
      <c r="C92" s="46" t="n"/>
      <c r="D92" s="47" t="n"/>
      <c r="E92" s="47" t="n"/>
      <c r="F92" s="44">
        <f>IF(E92="", "", IF(OR(E92=".NET 8 (SDK v1.5+ hỗ trợ chính thức)", E92=".NET 6 / .NET 7 (SDK v1.5+ hỗ trợ chính thức)"), "Hỗ trợ chuẩn SDK (.NET 6/7/8)", "Ngoài phạm vi SDK (Dùng OTel Native)"))</f>
        <v/>
      </c>
      <c r="G92" s="47" t="n"/>
      <c r="H92" s="47" t="n"/>
      <c r="I92" s="47" t="n"/>
      <c r="J92" s="47" t="n"/>
      <c r="K92" s="44">
        <f>IF(COUNTA(H92:J92)=0, "", IF(COUNTIF(H92:J92, "Đã hoàn thành (Đạt chuẩn)")=3, "ĐỦ 3 TRỤC (100%)", IF(COUNTIF(H92:J92, "Chưa triển khai")=3, "CHƯA GẮN (0%)", "THIẾU / CHƯA ĐẠT (" &amp; COUNTIF(H92:J92, "Đã hoàn thành (Đạt chuẩn)") &amp; "/3)")))</f>
        <v/>
      </c>
      <c r="L92" s="47" t="n"/>
      <c r="M92" s="47" t="n"/>
      <c r="N92" s="47" t="n"/>
      <c r="O92" s="44">
        <f>IF(COUNTA(L92:N92)=0, "", IF(COUNTIF(L92:N92, "Đã có (Đạt chuẩn)")=3, "ĐỦ 3 LEVEL DASHBOARD", IF(COUNTIF(L92:N92, "Chưa có")=3, "CHƯA CÓ DASHBOARD", "THIẾU DASHBOARD (" &amp; COUNTIF(L92:N92, "Đã có (Đạt chuẩn)") &amp; "/3)")))</f>
        <v/>
      </c>
      <c r="P92" s="47" t="n"/>
      <c r="Q92" s="47" t="n"/>
      <c r="R92" s="44">
        <f>IF(C92="", "", IF(P92="Đẩy thẳng Kafka / ES (Vi phạm BLOCKER)", "VI PHẠM (BLOCKER)", IF(AND(K92="ĐỦ 3 TRỤC (100%)", O92="ĐỦ 3 LEVEL DASHBOARD", P92="Qua OTel Collector (Đúng chuẩn)"), "ĐẠT CHUẨN QG2 (PASS)", IF(AND(K92="CHƯA GẮN (0%)", O92="CHƯA CÓ DASHBOARD"), "CHƯA TRIỂN KHAI", "ĐANG HOÀN THIỆN (PENDING)"))))</f>
        <v/>
      </c>
      <c r="S92" s="45" t="n"/>
      <c r="T92" s="45" t="n"/>
      <c r="U92" s="47" t="n"/>
      <c r="V92" s="45" t="n"/>
    </row>
    <row r="93" ht="24" customHeight="1">
      <c r="A93" s="44">
        <f>IF(COUNTA(B93:C93)=0, "", COUNTA($C$6:C93))</f>
        <v/>
      </c>
      <c r="B93" s="24" t="n"/>
      <c r="C93" s="48" t="n"/>
      <c r="D93" s="25" t="n"/>
      <c r="E93" s="25" t="n"/>
      <c r="F93" s="44">
        <f>IF(E93="", "", IF(OR(E93=".NET 8 (SDK v1.5+ hỗ trợ chính thức)", E93=".NET 6 / .NET 7 (SDK v1.5+ hỗ trợ chính thức)"), "Hỗ trợ chuẩn SDK (.NET 6/7/8)", "Ngoài phạm vi SDK (Dùng OTel Native)"))</f>
        <v/>
      </c>
      <c r="G93" s="25" t="n"/>
      <c r="H93" s="25" t="n"/>
      <c r="I93" s="25" t="n"/>
      <c r="J93" s="25" t="n"/>
      <c r="K93" s="44">
        <f>IF(COUNTA(H93:J93)=0, "", IF(COUNTIF(H93:J93, "Đã hoàn thành (Đạt chuẩn)")=3, "ĐỦ 3 TRỤC (100%)", IF(COUNTIF(H93:J93, "Chưa triển khai")=3, "CHƯA GẮN (0%)", "THIẾU / CHƯA ĐẠT (" &amp; COUNTIF(H93:J93, "Đã hoàn thành (Đạt chuẩn)") &amp; "/3)")))</f>
        <v/>
      </c>
      <c r="L93" s="25" t="n"/>
      <c r="M93" s="25" t="n"/>
      <c r="N93" s="25" t="n"/>
      <c r="O93" s="44">
        <f>IF(COUNTA(L93:N93)=0, "", IF(COUNTIF(L93:N93, "Đã có (Đạt chuẩn)")=3, "ĐỦ 3 LEVEL DASHBOARD", IF(COUNTIF(L93:N93, "Chưa có")=3, "CHƯA CÓ DASHBOARD", "THIẾU DASHBOARD (" &amp; COUNTIF(L93:N93, "Đã có (Đạt chuẩn)") &amp; "/3)")))</f>
        <v/>
      </c>
      <c r="P93" s="25" t="n"/>
      <c r="Q93" s="25" t="n"/>
      <c r="R93" s="44">
        <f>IF(C93="", "", IF(P93="Đẩy thẳng Kafka / ES (Vi phạm BLOCKER)", "VI PHẠM (BLOCKER)", IF(AND(K93="ĐỦ 3 TRỤC (100%)", O93="ĐỦ 3 LEVEL DASHBOARD", P93="Qua OTel Collector (Đúng chuẩn)"), "ĐẠT CHUẨN QG2 (PASS)", IF(AND(K93="CHƯA GẮN (0%)", O93="CHƯA CÓ DASHBOARD"), "CHƯA TRIỂN KHAI", "ĐANG HOÀN THIỆN (PENDING)"))))</f>
        <v/>
      </c>
      <c r="S93" s="24" t="n"/>
      <c r="T93" s="24" t="n"/>
      <c r="U93" s="25" t="n"/>
      <c r="V93" s="24" t="n"/>
    </row>
    <row r="94" ht="24" customHeight="1">
      <c r="A94" s="44">
        <f>IF(COUNTA(B94:C94)=0, "", COUNTA($C$6:C94))</f>
        <v/>
      </c>
      <c r="B94" s="45" t="n"/>
      <c r="C94" s="46" t="n"/>
      <c r="D94" s="47" t="n"/>
      <c r="E94" s="47" t="n"/>
      <c r="F94" s="44">
        <f>IF(E94="", "", IF(OR(E94=".NET 8 (SDK v1.5+ hỗ trợ chính thức)", E94=".NET 6 / .NET 7 (SDK v1.5+ hỗ trợ chính thức)"), "Hỗ trợ chuẩn SDK (.NET 6/7/8)", "Ngoài phạm vi SDK (Dùng OTel Native)"))</f>
        <v/>
      </c>
      <c r="G94" s="47" t="n"/>
      <c r="H94" s="47" t="n"/>
      <c r="I94" s="47" t="n"/>
      <c r="J94" s="47" t="n"/>
      <c r="K94" s="44">
        <f>IF(COUNTA(H94:J94)=0, "", IF(COUNTIF(H94:J94, "Đã hoàn thành (Đạt chuẩn)")=3, "ĐỦ 3 TRỤC (100%)", IF(COUNTIF(H94:J94, "Chưa triển khai")=3, "CHƯA GẮN (0%)", "THIẾU / CHƯA ĐẠT (" &amp; COUNTIF(H94:J94, "Đã hoàn thành (Đạt chuẩn)") &amp; "/3)")))</f>
        <v/>
      </c>
      <c r="L94" s="47" t="n"/>
      <c r="M94" s="47" t="n"/>
      <c r="N94" s="47" t="n"/>
      <c r="O94" s="44">
        <f>IF(COUNTA(L94:N94)=0, "", IF(COUNTIF(L94:N94, "Đã có (Đạt chuẩn)")=3, "ĐỦ 3 LEVEL DASHBOARD", IF(COUNTIF(L94:N94, "Chưa có")=3, "CHƯA CÓ DASHBOARD", "THIẾU DASHBOARD (" &amp; COUNTIF(L94:N94, "Đã có (Đạt chuẩn)") &amp; "/3)")))</f>
        <v/>
      </c>
      <c r="P94" s="47" t="n"/>
      <c r="Q94" s="47" t="n"/>
      <c r="R94" s="44">
        <f>IF(C94="", "", IF(P94="Đẩy thẳng Kafka / ES (Vi phạm BLOCKER)", "VI PHẠM (BLOCKER)", IF(AND(K94="ĐỦ 3 TRỤC (100%)", O94="ĐỦ 3 LEVEL DASHBOARD", P94="Qua OTel Collector (Đúng chuẩn)"), "ĐẠT CHUẨN QG2 (PASS)", IF(AND(K94="CHƯA GẮN (0%)", O94="CHƯA CÓ DASHBOARD"), "CHƯA TRIỂN KHAI", "ĐANG HOÀN THIỆN (PENDING)"))))</f>
        <v/>
      </c>
      <c r="S94" s="45" t="n"/>
      <c r="T94" s="45" t="n"/>
      <c r="U94" s="47" t="n"/>
      <c r="V94" s="45" t="n"/>
    </row>
    <row r="95" ht="24" customHeight="1">
      <c r="A95" s="44">
        <f>IF(COUNTA(B95:C95)=0, "", COUNTA($C$6:C95))</f>
        <v/>
      </c>
      <c r="B95" s="24" t="n"/>
      <c r="C95" s="48" t="n"/>
      <c r="D95" s="25" t="n"/>
      <c r="E95" s="25" t="n"/>
      <c r="F95" s="44">
        <f>IF(E95="", "", IF(OR(E95=".NET 8 (SDK v1.5+ hỗ trợ chính thức)", E95=".NET 6 / .NET 7 (SDK v1.5+ hỗ trợ chính thức)"), "Hỗ trợ chuẩn SDK (.NET 6/7/8)", "Ngoài phạm vi SDK (Dùng OTel Native)"))</f>
        <v/>
      </c>
      <c r="G95" s="25" t="n"/>
      <c r="H95" s="25" t="n"/>
      <c r="I95" s="25" t="n"/>
      <c r="J95" s="25" t="n"/>
      <c r="K95" s="44">
        <f>IF(COUNTA(H95:J95)=0, "", IF(COUNTIF(H95:J95, "Đã hoàn thành (Đạt chuẩn)")=3, "ĐỦ 3 TRỤC (100%)", IF(COUNTIF(H95:J95, "Chưa triển khai")=3, "CHƯA GẮN (0%)", "THIẾU / CHƯA ĐẠT (" &amp; COUNTIF(H95:J95, "Đã hoàn thành (Đạt chuẩn)") &amp; "/3)")))</f>
        <v/>
      </c>
      <c r="L95" s="25" t="n"/>
      <c r="M95" s="25" t="n"/>
      <c r="N95" s="25" t="n"/>
      <c r="O95" s="44">
        <f>IF(COUNTA(L95:N95)=0, "", IF(COUNTIF(L95:N95, "Đã có (Đạt chuẩn)")=3, "ĐỦ 3 LEVEL DASHBOARD", IF(COUNTIF(L95:N95, "Chưa có")=3, "CHƯA CÓ DASHBOARD", "THIẾU DASHBOARD (" &amp; COUNTIF(L95:N95, "Đã có (Đạt chuẩn)") &amp; "/3)")))</f>
        <v/>
      </c>
      <c r="P95" s="25" t="n"/>
      <c r="Q95" s="25" t="n"/>
      <c r="R95" s="44">
        <f>IF(C95="", "", IF(P95="Đẩy thẳng Kafka / ES (Vi phạm BLOCKER)", "VI PHẠM (BLOCKER)", IF(AND(K95="ĐỦ 3 TRỤC (100%)", O95="ĐỦ 3 LEVEL DASHBOARD", P95="Qua OTel Collector (Đúng chuẩn)"), "ĐẠT CHUẨN QG2 (PASS)", IF(AND(K95="CHƯA GẮN (0%)", O95="CHƯA CÓ DASHBOARD"), "CHƯA TRIỂN KHAI", "ĐANG HOÀN THIỆN (PENDING)"))))</f>
        <v/>
      </c>
      <c r="S95" s="24" t="n"/>
      <c r="T95" s="24" t="n"/>
      <c r="U95" s="25" t="n"/>
      <c r="V95" s="24" t="n"/>
    </row>
    <row r="96" ht="24" customHeight="1">
      <c r="A96" s="44">
        <f>IF(COUNTA(B96:C96)=0, "", COUNTA($C$6:C96))</f>
        <v/>
      </c>
      <c r="B96" s="45" t="n"/>
      <c r="C96" s="46" t="n"/>
      <c r="D96" s="47" t="n"/>
      <c r="E96" s="47" t="n"/>
      <c r="F96" s="44">
        <f>IF(E96="", "", IF(OR(E96=".NET 8 (SDK v1.5+ hỗ trợ chính thức)", E96=".NET 6 / .NET 7 (SDK v1.5+ hỗ trợ chính thức)"), "Hỗ trợ chuẩn SDK (.NET 6/7/8)", "Ngoài phạm vi SDK (Dùng OTel Native)"))</f>
        <v/>
      </c>
      <c r="G96" s="47" t="n"/>
      <c r="H96" s="47" t="n"/>
      <c r="I96" s="47" t="n"/>
      <c r="J96" s="47" t="n"/>
      <c r="K96" s="44">
        <f>IF(COUNTA(H96:J96)=0, "", IF(COUNTIF(H96:J96, "Đã hoàn thành (Đạt chuẩn)")=3, "ĐỦ 3 TRỤC (100%)", IF(COUNTIF(H96:J96, "Chưa triển khai")=3, "CHƯA GẮN (0%)", "THIẾU / CHƯA ĐẠT (" &amp; COUNTIF(H96:J96, "Đã hoàn thành (Đạt chuẩn)") &amp; "/3)")))</f>
        <v/>
      </c>
      <c r="L96" s="47" t="n"/>
      <c r="M96" s="47" t="n"/>
      <c r="N96" s="47" t="n"/>
      <c r="O96" s="44">
        <f>IF(COUNTA(L96:N96)=0, "", IF(COUNTIF(L96:N96, "Đã có (Đạt chuẩn)")=3, "ĐỦ 3 LEVEL DASHBOARD", IF(COUNTIF(L96:N96, "Chưa có")=3, "CHƯA CÓ DASHBOARD", "THIẾU DASHBOARD (" &amp; COUNTIF(L96:N96, "Đã có (Đạt chuẩn)") &amp; "/3)")))</f>
        <v/>
      </c>
      <c r="P96" s="47" t="n"/>
      <c r="Q96" s="47" t="n"/>
      <c r="R96" s="44">
        <f>IF(C96="", "", IF(P96="Đẩy thẳng Kafka / ES (Vi phạm BLOCKER)", "VI PHẠM (BLOCKER)", IF(AND(K96="ĐỦ 3 TRỤC (100%)", O96="ĐỦ 3 LEVEL DASHBOARD", P96="Qua OTel Collector (Đúng chuẩn)"), "ĐẠT CHUẨN QG2 (PASS)", IF(AND(K96="CHƯA GẮN (0%)", O96="CHƯA CÓ DASHBOARD"), "CHƯA TRIỂN KHAI", "ĐANG HOÀN THIỆN (PENDING)"))))</f>
        <v/>
      </c>
      <c r="S96" s="45" t="n"/>
      <c r="T96" s="45" t="n"/>
      <c r="U96" s="47" t="n"/>
      <c r="V96" s="45" t="n"/>
    </row>
    <row r="97" ht="24" customHeight="1">
      <c r="A97" s="44">
        <f>IF(COUNTA(B97:C97)=0, "", COUNTA($C$6:C97))</f>
        <v/>
      </c>
      <c r="B97" s="24" t="n"/>
      <c r="C97" s="48" t="n"/>
      <c r="D97" s="25" t="n"/>
      <c r="E97" s="25" t="n"/>
      <c r="F97" s="44">
        <f>IF(E97="", "", IF(OR(E97=".NET 8 (SDK v1.5+ hỗ trợ chính thức)", E97=".NET 6 / .NET 7 (SDK v1.5+ hỗ trợ chính thức)"), "Hỗ trợ chuẩn SDK (.NET 6/7/8)", "Ngoài phạm vi SDK (Dùng OTel Native)"))</f>
        <v/>
      </c>
      <c r="G97" s="25" t="n"/>
      <c r="H97" s="25" t="n"/>
      <c r="I97" s="25" t="n"/>
      <c r="J97" s="25" t="n"/>
      <c r="K97" s="44">
        <f>IF(COUNTA(H97:J97)=0, "", IF(COUNTIF(H97:J97, "Đã hoàn thành (Đạt chuẩn)")=3, "ĐỦ 3 TRỤC (100%)", IF(COUNTIF(H97:J97, "Chưa triển khai")=3, "CHƯA GẮN (0%)", "THIẾU / CHƯA ĐẠT (" &amp; COUNTIF(H97:J97, "Đã hoàn thành (Đạt chuẩn)") &amp; "/3)")))</f>
        <v/>
      </c>
      <c r="L97" s="25" t="n"/>
      <c r="M97" s="25" t="n"/>
      <c r="N97" s="25" t="n"/>
      <c r="O97" s="44">
        <f>IF(COUNTA(L97:N97)=0, "", IF(COUNTIF(L97:N97, "Đã có (Đạt chuẩn)")=3, "ĐỦ 3 LEVEL DASHBOARD", IF(COUNTIF(L97:N97, "Chưa có")=3, "CHƯA CÓ DASHBOARD", "THIẾU DASHBOARD (" &amp; COUNTIF(L97:N97, "Đã có (Đạt chuẩn)") &amp; "/3)")))</f>
        <v/>
      </c>
      <c r="P97" s="25" t="n"/>
      <c r="Q97" s="25" t="n"/>
      <c r="R97" s="44">
        <f>IF(C97="", "", IF(P97="Đẩy thẳng Kafka / ES (Vi phạm BLOCKER)", "VI PHẠM (BLOCKER)", IF(AND(K97="ĐỦ 3 TRỤC (100%)", O97="ĐỦ 3 LEVEL DASHBOARD", P97="Qua OTel Collector (Đúng chuẩn)"), "ĐẠT CHUẨN QG2 (PASS)", IF(AND(K97="CHƯA GẮN (0%)", O97="CHƯA CÓ DASHBOARD"), "CHƯA TRIỂN KHAI", "ĐANG HOÀN THIỆN (PENDING)"))))</f>
        <v/>
      </c>
      <c r="S97" s="24" t="n"/>
      <c r="T97" s="24" t="n"/>
      <c r="U97" s="25" t="n"/>
      <c r="V97" s="24" t="n"/>
    </row>
    <row r="98" ht="24" customHeight="1">
      <c r="A98" s="44">
        <f>IF(COUNTA(B98:C98)=0, "", COUNTA($C$6:C98))</f>
        <v/>
      </c>
      <c r="B98" s="45" t="n"/>
      <c r="C98" s="46" t="n"/>
      <c r="D98" s="47" t="n"/>
      <c r="E98" s="47" t="n"/>
      <c r="F98" s="44">
        <f>IF(E98="", "", IF(OR(E98=".NET 8 (SDK v1.5+ hỗ trợ chính thức)", E98=".NET 6 / .NET 7 (SDK v1.5+ hỗ trợ chính thức)"), "Hỗ trợ chuẩn SDK (.NET 6/7/8)", "Ngoài phạm vi SDK (Dùng OTel Native)"))</f>
        <v/>
      </c>
      <c r="G98" s="47" t="n"/>
      <c r="H98" s="47" t="n"/>
      <c r="I98" s="47" t="n"/>
      <c r="J98" s="47" t="n"/>
      <c r="K98" s="44">
        <f>IF(COUNTA(H98:J98)=0, "", IF(COUNTIF(H98:J98, "Đã hoàn thành (Đạt chuẩn)")=3, "ĐỦ 3 TRỤC (100%)", IF(COUNTIF(H98:J98, "Chưa triển khai")=3, "CHƯA GẮN (0%)", "THIẾU / CHƯA ĐẠT (" &amp; COUNTIF(H98:J98, "Đã hoàn thành (Đạt chuẩn)") &amp; "/3)")))</f>
        <v/>
      </c>
      <c r="L98" s="47" t="n"/>
      <c r="M98" s="47" t="n"/>
      <c r="N98" s="47" t="n"/>
      <c r="O98" s="44">
        <f>IF(COUNTA(L98:N98)=0, "", IF(COUNTIF(L98:N98, "Đã có (Đạt chuẩn)")=3, "ĐỦ 3 LEVEL DASHBOARD", IF(COUNTIF(L98:N98, "Chưa có")=3, "CHƯA CÓ DASHBOARD", "THIẾU DASHBOARD (" &amp; COUNTIF(L98:N98, "Đã có (Đạt chuẩn)") &amp; "/3)")))</f>
        <v/>
      </c>
      <c r="P98" s="47" t="n"/>
      <c r="Q98" s="47" t="n"/>
      <c r="R98" s="44">
        <f>IF(C98="", "", IF(P98="Đẩy thẳng Kafka / ES (Vi phạm BLOCKER)", "VI PHẠM (BLOCKER)", IF(AND(K98="ĐỦ 3 TRỤC (100%)", O98="ĐỦ 3 LEVEL DASHBOARD", P98="Qua OTel Collector (Đúng chuẩn)"), "ĐẠT CHUẨN QG2 (PASS)", IF(AND(K98="CHƯA GẮN (0%)", O98="CHƯA CÓ DASHBOARD"), "CHƯA TRIỂN KHAI", "ĐANG HOÀN THIỆN (PENDING)"))))</f>
        <v/>
      </c>
      <c r="S98" s="45" t="n"/>
      <c r="T98" s="45" t="n"/>
      <c r="U98" s="47" t="n"/>
      <c r="V98" s="45" t="n"/>
    </row>
    <row r="99" ht="24" customHeight="1">
      <c r="A99" s="44">
        <f>IF(COUNTA(B99:C99)=0, "", COUNTA($C$6:C99))</f>
        <v/>
      </c>
      <c r="B99" s="24" t="n"/>
      <c r="C99" s="48" t="n"/>
      <c r="D99" s="25" t="n"/>
      <c r="E99" s="25" t="n"/>
      <c r="F99" s="44">
        <f>IF(E99="", "", IF(OR(E99=".NET 8 (SDK v1.5+ hỗ trợ chính thức)", E99=".NET 6 / .NET 7 (SDK v1.5+ hỗ trợ chính thức)"), "Hỗ trợ chuẩn SDK (.NET 6/7/8)", "Ngoài phạm vi SDK (Dùng OTel Native)"))</f>
        <v/>
      </c>
      <c r="G99" s="25" t="n"/>
      <c r="H99" s="25" t="n"/>
      <c r="I99" s="25" t="n"/>
      <c r="J99" s="25" t="n"/>
      <c r="K99" s="44">
        <f>IF(COUNTA(H99:J99)=0, "", IF(COUNTIF(H99:J99, "Đã hoàn thành (Đạt chuẩn)")=3, "ĐỦ 3 TRỤC (100%)", IF(COUNTIF(H99:J99, "Chưa triển khai")=3, "CHƯA GẮN (0%)", "THIẾU / CHƯA ĐẠT (" &amp; COUNTIF(H99:J99, "Đã hoàn thành (Đạt chuẩn)") &amp; "/3)")))</f>
        <v/>
      </c>
      <c r="L99" s="25" t="n"/>
      <c r="M99" s="25" t="n"/>
      <c r="N99" s="25" t="n"/>
      <c r="O99" s="44">
        <f>IF(COUNTA(L99:N99)=0, "", IF(COUNTIF(L99:N99, "Đã có (Đạt chuẩn)")=3, "ĐỦ 3 LEVEL DASHBOARD", IF(COUNTIF(L99:N99, "Chưa có")=3, "CHƯA CÓ DASHBOARD", "THIẾU DASHBOARD (" &amp; COUNTIF(L99:N99, "Đã có (Đạt chuẩn)") &amp; "/3)")))</f>
        <v/>
      </c>
      <c r="P99" s="25" t="n"/>
      <c r="Q99" s="25" t="n"/>
      <c r="R99" s="44">
        <f>IF(C99="", "", IF(P99="Đẩy thẳng Kafka / ES (Vi phạm BLOCKER)", "VI PHẠM (BLOCKER)", IF(AND(K99="ĐỦ 3 TRỤC (100%)", O99="ĐỦ 3 LEVEL DASHBOARD", P99="Qua OTel Collector (Đúng chuẩn)"), "ĐẠT CHUẨN QG2 (PASS)", IF(AND(K99="CHƯA GẮN (0%)", O99="CHƯA CÓ DASHBOARD"), "CHƯA TRIỂN KHAI", "ĐANG HOÀN THIỆN (PENDING)"))))</f>
        <v/>
      </c>
      <c r="S99" s="24" t="n"/>
      <c r="T99" s="24" t="n"/>
      <c r="U99" s="25" t="n"/>
      <c r="V99" s="24" t="n"/>
    </row>
    <row r="100" ht="24" customHeight="1">
      <c r="A100" s="44">
        <f>IF(COUNTA(B100:C100)=0, "", COUNTA($C$6:C100))</f>
        <v/>
      </c>
      <c r="B100" s="45" t="n"/>
      <c r="C100" s="46" t="n"/>
      <c r="D100" s="47" t="n"/>
      <c r="E100" s="47" t="n"/>
      <c r="F100" s="44">
        <f>IF(E100="", "", IF(OR(E100=".NET 8 (SDK v1.5+ hỗ trợ chính thức)", E100=".NET 6 / .NET 7 (SDK v1.5+ hỗ trợ chính thức)"), "Hỗ trợ chuẩn SDK (.NET 6/7/8)", "Ngoài phạm vi SDK (Dùng OTel Native)"))</f>
        <v/>
      </c>
      <c r="G100" s="47" t="n"/>
      <c r="H100" s="47" t="n"/>
      <c r="I100" s="47" t="n"/>
      <c r="J100" s="47" t="n"/>
      <c r="K100" s="44">
        <f>IF(COUNTA(H100:J100)=0, "", IF(COUNTIF(H100:J100, "Đã hoàn thành (Đạt chuẩn)")=3, "ĐỦ 3 TRỤC (100%)", IF(COUNTIF(H100:J100, "Chưa triển khai")=3, "CHƯA GẮN (0%)", "THIẾU / CHƯA ĐẠT (" &amp; COUNTIF(H100:J100, "Đã hoàn thành (Đạt chuẩn)") &amp; "/3)")))</f>
        <v/>
      </c>
      <c r="L100" s="47" t="n"/>
      <c r="M100" s="47" t="n"/>
      <c r="N100" s="47" t="n"/>
      <c r="O100" s="44">
        <f>IF(COUNTA(L100:N100)=0, "", IF(COUNTIF(L100:N100, "Đã có (Đạt chuẩn)")=3, "ĐỦ 3 LEVEL DASHBOARD", IF(COUNTIF(L100:N100, "Chưa có")=3, "CHƯA CÓ DASHBOARD", "THIẾU DASHBOARD (" &amp; COUNTIF(L100:N100, "Đã có (Đạt chuẩn)") &amp; "/3)")))</f>
        <v/>
      </c>
      <c r="P100" s="47" t="n"/>
      <c r="Q100" s="47" t="n"/>
      <c r="R100" s="44">
        <f>IF(C100="", "", IF(P100="Đẩy thẳng Kafka / ES (Vi phạm BLOCKER)", "VI PHẠM (BLOCKER)", IF(AND(K100="ĐỦ 3 TRỤC (100%)", O100="ĐỦ 3 LEVEL DASHBOARD", P100="Qua OTel Collector (Đúng chuẩn)"), "ĐẠT CHUẨN QG2 (PASS)", IF(AND(K100="CHƯA GẮN (0%)", O100="CHƯA CÓ DASHBOARD"), "CHƯA TRIỂN KHAI", "ĐANG HOÀN THIỆN (PENDING)"))))</f>
        <v/>
      </c>
      <c r="S100" s="45" t="n"/>
      <c r="T100" s="45" t="n"/>
      <c r="U100" s="47" t="n"/>
      <c r="V100" s="45" t="n"/>
    </row>
    <row r="101" ht="24" customHeight="1">
      <c r="A101" s="44">
        <f>IF(COUNTA(B101:C101)=0, "", COUNTA($C$6:C101))</f>
        <v/>
      </c>
      <c r="B101" s="24" t="n"/>
      <c r="C101" s="48" t="n"/>
      <c r="D101" s="25" t="n"/>
      <c r="E101" s="25" t="n"/>
      <c r="F101" s="44">
        <f>IF(E101="", "", IF(OR(E101=".NET 8 (SDK v1.5+ hỗ trợ chính thức)", E101=".NET 6 / .NET 7 (SDK v1.5+ hỗ trợ chính thức)"), "Hỗ trợ chuẩn SDK (.NET 6/7/8)", "Ngoài phạm vi SDK (Dùng OTel Native)"))</f>
        <v/>
      </c>
      <c r="G101" s="25" t="n"/>
      <c r="H101" s="25" t="n"/>
      <c r="I101" s="25" t="n"/>
      <c r="J101" s="25" t="n"/>
      <c r="K101" s="44">
        <f>IF(COUNTA(H101:J101)=0, "", IF(COUNTIF(H101:J101, "Đã hoàn thành (Đạt chuẩn)")=3, "ĐỦ 3 TRỤC (100%)", IF(COUNTIF(H101:J101, "Chưa triển khai")=3, "CHƯA GẮN (0%)", "THIẾU / CHƯA ĐẠT (" &amp; COUNTIF(H101:J101, "Đã hoàn thành (Đạt chuẩn)") &amp; "/3)")))</f>
        <v/>
      </c>
      <c r="L101" s="25" t="n"/>
      <c r="M101" s="25" t="n"/>
      <c r="N101" s="25" t="n"/>
      <c r="O101" s="44">
        <f>IF(COUNTA(L101:N101)=0, "", IF(COUNTIF(L101:N101, "Đã có (Đạt chuẩn)")=3, "ĐỦ 3 LEVEL DASHBOARD", IF(COUNTIF(L101:N101, "Chưa có")=3, "CHƯA CÓ DASHBOARD", "THIẾU DASHBOARD (" &amp; COUNTIF(L101:N101, "Đã có (Đạt chuẩn)") &amp; "/3)")))</f>
        <v/>
      </c>
      <c r="P101" s="25" t="n"/>
      <c r="Q101" s="25" t="n"/>
      <c r="R101" s="44">
        <f>IF(C101="", "", IF(P101="Đẩy thẳng Kafka / ES (Vi phạm BLOCKER)", "VI PHẠM (BLOCKER)", IF(AND(K101="ĐỦ 3 TRỤC (100%)", O101="ĐỦ 3 LEVEL DASHBOARD", P101="Qua OTel Collector (Đúng chuẩn)"), "ĐẠT CHUẨN QG2 (PASS)", IF(AND(K101="CHƯA GẮN (0%)", O101="CHƯA CÓ DASHBOARD"), "CHƯA TRIỂN KHAI", "ĐANG HOÀN THIỆN (PENDING)"))))</f>
        <v/>
      </c>
      <c r="S101" s="24" t="n"/>
      <c r="T101" s="24" t="n"/>
      <c r="U101" s="25" t="n"/>
      <c r="V101" s="24" t="n"/>
    </row>
    <row r="102" ht="24" customHeight="1">
      <c r="A102" s="44">
        <f>IF(COUNTA(B102:C102)=0, "", COUNTA($C$6:C102))</f>
        <v/>
      </c>
      <c r="B102" s="45" t="n"/>
      <c r="C102" s="46" t="n"/>
      <c r="D102" s="47" t="n"/>
      <c r="E102" s="47" t="n"/>
      <c r="F102" s="44">
        <f>IF(E102="", "", IF(OR(E102=".NET 8 (SDK v1.5+ hỗ trợ chính thức)", E102=".NET 6 / .NET 7 (SDK v1.5+ hỗ trợ chính thức)"), "Hỗ trợ chuẩn SDK (.NET 6/7/8)", "Ngoài phạm vi SDK (Dùng OTel Native)"))</f>
        <v/>
      </c>
      <c r="G102" s="47" t="n"/>
      <c r="H102" s="47" t="n"/>
      <c r="I102" s="47" t="n"/>
      <c r="J102" s="47" t="n"/>
      <c r="K102" s="44">
        <f>IF(COUNTA(H102:J102)=0, "", IF(COUNTIF(H102:J102, "Đã hoàn thành (Đạt chuẩn)")=3, "ĐỦ 3 TRỤC (100%)", IF(COUNTIF(H102:J102, "Chưa triển khai")=3, "CHƯA GẮN (0%)", "THIẾU / CHƯA ĐẠT (" &amp; COUNTIF(H102:J102, "Đã hoàn thành (Đạt chuẩn)") &amp; "/3)")))</f>
        <v/>
      </c>
      <c r="L102" s="47" t="n"/>
      <c r="M102" s="47" t="n"/>
      <c r="N102" s="47" t="n"/>
      <c r="O102" s="44">
        <f>IF(COUNTA(L102:N102)=0, "", IF(COUNTIF(L102:N102, "Đã có (Đạt chuẩn)")=3, "ĐỦ 3 LEVEL DASHBOARD", IF(COUNTIF(L102:N102, "Chưa có")=3, "CHƯA CÓ DASHBOARD", "THIẾU DASHBOARD (" &amp; COUNTIF(L102:N102, "Đã có (Đạt chuẩn)") &amp; "/3)")))</f>
        <v/>
      </c>
      <c r="P102" s="47" t="n"/>
      <c r="Q102" s="47" t="n"/>
      <c r="R102" s="44">
        <f>IF(C102="", "", IF(P102="Đẩy thẳng Kafka / ES (Vi phạm BLOCKER)", "VI PHẠM (BLOCKER)", IF(AND(K102="ĐỦ 3 TRỤC (100%)", O102="ĐỦ 3 LEVEL DASHBOARD", P102="Qua OTel Collector (Đúng chuẩn)"), "ĐẠT CHUẨN QG2 (PASS)", IF(AND(K102="CHƯA GẮN (0%)", O102="CHƯA CÓ DASHBOARD"), "CHƯA TRIỂN KHAI", "ĐANG HOÀN THIỆN (PENDING)"))))</f>
        <v/>
      </c>
      <c r="S102" s="45" t="n"/>
      <c r="T102" s="45" t="n"/>
      <c r="U102" s="47" t="n"/>
      <c r="V102" s="45" t="n"/>
    </row>
    <row r="103" ht="24" customHeight="1">
      <c r="A103" s="44">
        <f>IF(COUNTA(B103:C103)=0, "", COUNTA($C$6:C103))</f>
        <v/>
      </c>
      <c r="B103" s="24" t="n"/>
      <c r="C103" s="48" t="n"/>
      <c r="D103" s="25" t="n"/>
      <c r="E103" s="25" t="n"/>
      <c r="F103" s="44">
        <f>IF(E103="", "", IF(OR(E103=".NET 8 (SDK v1.5+ hỗ trợ chính thức)", E103=".NET 6 / .NET 7 (SDK v1.5+ hỗ trợ chính thức)"), "Hỗ trợ chuẩn SDK (.NET 6/7/8)", "Ngoài phạm vi SDK (Dùng OTel Native)"))</f>
        <v/>
      </c>
      <c r="G103" s="25" t="n"/>
      <c r="H103" s="25" t="n"/>
      <c r="I103" s="25" t="n"/>
      <c r="J103" s="25" t="n"/>
      <c r="K103" s="44">
        <f>IF(COUNTA(H103:J103)=0, "", IF(COUNTIF(H103:J103, "Đã hoàn thành (Đạt chuẩn)")=3, "ĐỦ 3 TRỤC (100%)", IF(COUNTIF(H103:J103, "Chưa triển khai")=3, "CHƯA GẮN (0%)", "THIẾU / CHƯA ĐẠT (" &amp; COUNTIF(H103:J103, "Đã hoàn thành (Đạt chuẩn)") &amp; "/3)")))</f>
        <v/>
      </c>
      <c r="L103" s="25" t="n"/>
      <c r="M103" s="25" t="n"/>
      <c r="N103" s="25" t="n"/>
      <c r="O103" s="44">
        <f>IF(COUNTA(L103:N103)=0, "", IF(COUNTIF(L103:N103, "Đã có (Đạt chuẩn)")=3, "ĐỦ 3 LEVEL DASHBOARD", IF(COUNTIF(L103:N103, "Chưa có")=3, "CHƯA CÓ DASHBOARD", "THIẾU DASHBOARD (" &amp; COUNTIF(L103:N103, "Đã có (Đạt chuẩn)") &amp; "/3)")))</f>
        <v/>
      </c>
      <c r="P103" s="25" t="n"/>
      <c r="Q103" s="25" t="n"/>
      <c r="R103" s="44">
        <f>IF(C103="", "", IF(P103="Đẩy thẳng Kafka / ES (Vi phạm BLOCKER)", "VI PHẠM (BLOCKER)", IF(AND(K103="ĐỦ 3 TRỤC (100%)", O103="ĐỦ 3 LEVEL DASHBOARD", P103="Qua OTel Collector (Đúng chuẩn)"), "ĐẠT CHUẨN QG2 (PASS)", IF(AND(K103="CHƯA GẮN (0%)", O103="CHƯA CÓ DASHBOARD"), "CHƯA TRIỂN KHAI", "ĐANG HOÀN THIỆN (PENDING)"))))</f>
        <v/>
      </c>
      <c r="S103" s="24" t="n"/>
      <c r="T103" s="24" t="n"/>
      <c r="U103" s="25" t="n"/>
      <c r="V103" s="24" t="n"/>
    </row>
    <row r="104" ht="24" customHeight="1">
      <c r="A104" s="44">
        <f>IF(COUNTA(B104:C104)=0, "", COUNTA($C$6:C104))</f>
        <v/>
      </c>
      <c r="B104" s="45" t="n"/>
      <c r="C104" s="46" t="n"/>
      <c r="D104" s="47" t="n"/>
      <c r="E104" s="47" t="n"/>
      <c r="F104" s="44">
        <f>IF(E104="", "", IF(OR(E104=".NET 8 (SDK v1.5+ hỗ trợ chính thức)", E104=".NET 6 / .NET 7 (SDK v1.5+ hỗ trợ chính thức)"), "Hỗ trợ chuẩn SDK (.NET 6/7/8)", "Ngoài phạm vi SDK (Dùng OTel Native)"))</f>
        <v/>
      </c>
      <c r="G104" s="47" t="n"/>
      <c r="H104" s="47" t="n"/>
      <c r="I104" s="47" t="n"/>
      <c r="J104" s="47" t="n"/>
      <c r="K104" s="44">
        <f>IF(COUNTA(H104:J104)=0, "", IF(COUNTIF(H104:J104, "Đã hoàn thành (Đạt chuẩn)")=3, "ĐỦ 3 TRỤC (100%)", IF(COUNTIF(H104:J104, "Chưa triển khai")=3, "CHƯA GẮN (0%)", "THIẾU / CHƯA ĐẠT (" &amp; COUNTIF(H104:J104, "Đã hoàn thành (Đạt chuẩn)") &amp; "/3)")))</f>
        <v/>
      </c>
      <c r="L104" s="47" t="n"/>
      <c r="M104" s="47" t="n"/>
      <c r="N104" s="47" t="n"/>
      <c r="O104" s="44">
        <f>IF(COUNTA(L104:N104)=0, "", IF(COUNTIF(L104:N104, "Đã có (Đạt chuẩn)")=3, "ĐỦ 3 LEVEL DASHBOARD", IF(COUNTIF(L104:N104, "Chưa có")=3, "CHƯA CÓ DASHBOARD", "THIẾU DASHBOARD (" &amp; COUNTIF(L104:N104, "Đã có (Đạt chuẩn)") &amp; "/3)")))</f>
        <v/>
      </c>
      <c r="P104" s="47" t="n"/>
      <c r="Q104" s="47" t="n"/>
      <c r="R104" s="44">
        <f>IF(C104="", "", IF(P104="Đẩy thẳng Kafka / ES (Vi phạm BLOCKER)", "VI PHẠM (BLOCKER)", IF(AND(K104="ĐỦ 3 TRỤC (100%)", O104="ĐỦ 3 LEVEL DASHBOARD", P104="Qua OTel Collector (Đúng chuẩn)"), "ĐẠT CHUẨN QG2 (PASS)", IF(AND(K104="CHƯA GẮN (0%)", O104="CHƯA CÓ DASHBOARD"), "CHƯA TRIỂN KHAI", "ĐANG HOÀN THIỆN (PENDING)"))))</f>
        <v/>
      </c>
      <c r="S104" s="45" t="n"/>
      <c r="T104" s="45" t="n"/>
      <c r="U104" s="47" t="n"/>
      <c r="V104" s="45" t="n"/>
    </row>
    <row r="105" ht="24" customHeight="1">
      <c r="A105" s="44">
        <f>IF(COUNTA(B105:C105)=0, "", COUNTA($C$6:C105))</f>
        <v/>
      </c>
      <c r="B105" s="24" t="n"/>
      <c r="C105" s="48" t="n"/>
      <c r="D105" s="25" t="n"/>
      <c r="E105" s="25" t="n"/>
      <c r="F105" s="44">
        <f>IF(E105="", "", IF(OR(E105=".NET 8 (SDK v1.5+ hỗ trợ chính thức)", E105=".NET 6 / .NET 7 (SDK v1.5+ hỗ trợ chính thức)"), "Hỗ trợ chuẩn SDK (.NET 6/7/8)", "Ngoài phạm vi SDK (Dùng OTel Native)"))</f>
        <v/>
      </c>
      <c r="G105" s="25" t="n"/>
      <c r="H105" s="25" t="n"/>
      <c r="I105" s="25" t="n"/>
      <c r="J105" s="25" t="n"/>
      <c r="K105" s="44">
        <f>IF(COUNTA(H105:J105)=0, "", IF(COUNTIF(H105:J105, "Đã hoàn thành (Đạt chuẩn)")=3, "ĐỦ 3 TRỤC (100%)", IF(COUNTIF(H105:J105, "Chưa triển khai")=3, "CHƯA GẮN (0%)", "THIẾU / CHƯA ĐẠT (" &amp; COUNTIF(H105:J105, "Đã hoàn thành (Đạt chuẩn)") &amp; "/3)")))</f>
        <v/>
      </c>
      <c r="L105" s="25" t="n"/>
      <c r="M105" s="25" t="n"/>
      <c r="N105" s="25" t="n"/>
      <c r="O105" s="44">
        <f>IF(COUNTA(L105:N105)=0, "", IF(COUNTIF(L105:N105, "Đã có (Đạt chuẩn)")=3, "ĐỦ 3 LEVEL DASHBOARD", IF(COUNTIF(L105:N105, "Chưa có")=3, "CHƯA CÓ DASHBOARD", "THIẾU DASHBOARD (" &amp; COUNTIF(L105:N105, "Đã có (Đạt chuẩn)") &amp; "/3)")))</f>
        <v/>
      </c>
      <c r="P105" s="25" t="n"/>
      <c r="Q105" s="25" t="n"/>
      <c r="R105" s="44">
        <f>IF(C105="", "", IF(P105="Đẩy thẳng Kafka / ES (Vi phạm BLOCKER)", "VI PHẠM (BLOCKER)", IF(AND(K105="ĐỦ 3 TRỤC (100%)", O105="ĐỦ 3 LEVEL DASHBOARD", P105="Qua OTel Collector (Đúng chuẩn)"), "ĐẠT CHUẨN QG2 (PASS)", IF(AND(K105="CHƯA GẮN (0%)", O105="CHƯA CÓ DASHBOARD"), "CHƯA TRIỂN KHAI", "ĐANG HOÀN THIỆN (PENDING)"))))</f>
        <v/>
      </c>
      <c r="S105" s="24" t="n"/>
      <c r="T105" s="24" t="n"/>
      <c r="U105" s="25" t="n"/>
      <c r="V105" s="24" t="n"/>
    </row>
    <row r="106" ht="24" customHeight="1">
      <c r="A106" s="44">
        <f>IF(COUNTA(B106:C106)=0, "", COUNTA($C$6:C106))</f>
        <v/>
      </c>
      <c r="B106" s="45" t="n"/>
      <c r="C106" s="46" t="n"/>
      <c r="D106" s="47" t="n"/>
      <c r="E106" s="47" t="n"/>
      <c r="F106" s="44">
        <f>IF(E106="", "", IF(OR(E106=".NET 8 (SDK v1.5+ hỗ trợ chính thức)", E106=".NET 6 / .NET 7 (SDK v1.5+ hỗ trợ chính thức)"), "Hỗ trợ chuẩn SDK (.NET 6/7/8)", "Ngoài phạm vi SDK (Dùng OTel Native)"))</f>
        <v/>
      </c>
      <c r="G106" s="47" t="n"/>
      <c r="H106" s="47" t="n"/>
      <c r="I106" s="47" t="n"/>
      <c r="J106" s="47" t="n"/>
      <c r="K106" s="44">
        <f>IF(COUNTA(H106:J106)=0, "", IF(COUNTIF(H106:J106, "Đã hoàn thành (Đạt chuẩn)")=3, "ĐỦ 3 TRỤC (100%)", IF(COUNTIF(H106:J106, "Chưa triển khai")=3, "CHƯA GẮN (0%)", "THIẾU / CHƯA ĐẠT (" &amp; COUNTIF(H106:J106, "Đã hoàn thành (Đạt chuẩn)") &amp; "/3)")))</f>
        <v/>
      </c>
      <c r="L106" s="47" t="n"/>
      <c r="M106" s="47" t="n"/>
      <c r="N106" s="47" t="n"/>
      <c r="O106" s="44">
        <f>IF(COUNTA(L106:N106)=0, "", IF(COUNTIF(L106:N106, "Đã có (Đạt chuẩn)")=3, "ĐỦ 3 LEVEL DASHBOARD", IF(COUNTIF(L106:N106, "Chưa có")=3, "CHƯA CÓ DASHBOARD", "THIẾU DASHBOARD (" &amp; COUNTIF(L106:N106, "Đã có (Đạt chuẩn)") &amp; "/3)")))</f>
        <v/>
      </c>
      <c r="P106" s="47" t="n"/>
      <c r="Q106" s="47" t="n"/>
      <c r="R106" s="44">
        <f>IF(C106="", "", IF(P106="Đẩy thẳng Kafka / ES (Vi phạm BLOCKER)", "VI PHẠM (BLOCKER)", IF(AND(K106="ĐỦ 3 TRỤC (100%)", O106="ĐỦ 3 LEVEL DASHBOARD", P106="Qua OTel Collector (Đúng chuẩn)"), "ĐẠT CHUẨN QG2 (PASS)", IF(AND(K106="CHƯA GẮN (0%)", O106="CHƯA CÓ DASHBOARD"), "CHƯA TRIỂN KHAI", "ĐANG HOÀN THIỆN (PENDING)"))))</f>
        <v/>
      </c>
      <c r="S106" s="45" t="n"/>
      <c r="T106" s="45" t="n"/>
      <c r="U106" s="47" t="n"/>
      <c r="V106" s="45" t="n"/>
    </row>
    <row r="107" ht="24" customHeight="1">
      <c r="A107" s="44">
        <f>IF(COUNTA(B107:C107)=0, "", COUNTA($C$6:C107))</f>
        <v/>
      </c>
      <c r="B107" s="24" t="n"/>
      <c r="C107" s="48" t="n"/>
      <c r="D107" s="25" t="n"/>
      <c r="E107" s="25" t="n"/>
      <c r="F107" s="44">
        <f>IF(E107="", "", IF(OR(E107=".NET 8 (SDK v1.5+ hỗ trợ chính thức)", E107=".NET 6 / .NET 7 (SDK v1.5+ hỗ trợ chính thức)"), "Hỗ trợ chuẩn SDK (.NET 6/7/8)", "Ngoài phạm vi SDK (Dùng OTel Native)"))</f>
        <v/>
      </c>
      <c r="G107" s="25" t="n"/>
      <c r="H107" s="25" t="n"/>
      <c r="I107" s="25" t="n"/>
      <c r="J107" s="25" t="n"/>
      <c r="K107" s="44">
        <f>IF(COUNTA(H107:J107)=0, "", IF(COUNTIF(H107:J107, "Đã hoàn thành (Đạt chuẩn)")=3, "ĐỦ 3 TRỤC (100%)", IF(COUNTIF(H107:J107, "Chưa triển khai")=3, "CHƯA GẮN (0%)", "THIẾU / CHƯA ĐẠT (" &amp; COUNTIF(H107:J107, "Đã hoàn thành (Đạt chuẩn)") &amp; "/3)")))</f>
        <v/>
      </c>
      <c r="L107" s="25" t="n"/>
      <c r="M107" s="25" t="n"/>
      <c r="N107" s="25" t="n"/>
      <c r="O107" s="44">
        <f>IF(COUNTA(L107:N107)=0, "", IF(COUNTIF(L107:N107, "Đã có (Đạt chuẩn)")=3, "ĐỦ 3 LEVEL DASHBOARD", IF(COUNTIF(L107:N107, "Chưa có")=3, "CHƯA CÓ DASHBOARD", "THIẾU DASHBOARD (" &amp; COUNTIF(L107:N107, "Đã có (Đạt chuẩn)") &amp; "/3)")))</f>
        <v/>
      </c>
      <c r="P107" s="25" t="n"/>
      <c r="Q107" s="25" t="n"/>
      <c r="R107" s="44">
        <f>IF(C107="", "", IF(P107="Đẩy thẳng Kafka / ES (Vi phạm BLOCKER)", "VI PHẠM (BLOCKER)", IF(AND(K107="ĐỦ 3 TRỤC (100%)", O107="ĐỦ 3 LEVEL DASHBOARD", P107="Qua OTel Collector (Đúng chuẩn)"), "ĐẠT CHUẨN QG2 (PASS)", IF(AND(K107="CHƯA GẮN (0%)", O107="CHƯA CÓ DASHBOARD"), "CHƯA TRIỂN KHAI", "ĐANG HOÀN THIỆN (PENDING)"))))</f>
        <v/>
      </c>
      <c r="S107" s="24" t="n"/>
      <c r="T107" s="24" t="n"/>
      <c r="U107" s="25" t="n"/>
      <c r="V107" s="24" t="n"/>
    </row>
    <row r="108" ht="24" customHeight="1">
      <c r="A108" s="44">
        <f>IF(COUNTA(B108:C108)=0, "", COUNTA($C$6:C108))</f>
        <v/>
      </c>
      <c r="B108" s="45" t="n"/>
      <c r="C108" s="46" t="n"/>
      <c r="D108" s="47" t="n"/>
      <c r="E108" s="47" t="n"/>
      <c r="F108" s="44">
        <f>IF(E108="", "", IF(OR(E108=".NET 8 (SDK v1.5+ hỗ trợ chính thức)", E108=".NET 6 / .NET 7 (SDK v1.5+ hỗ trợ chính thức)"), "Hỗ trợ chuẩn SDK (.NET 6/7/8)", "Ngoài phạm vi SDK (Dùng OTel Native)"))</f>
        <v/>
      </c>
      <c r="G108" s="47" t="n"/>
      <c r="H108" s="47" t="n"/>
      <c r="I108" s="47" t="n"/>
      <c r="J108" s="47" t="n"/>
      <c r="K108" s="44">
        <f>IF(COUNTA(H108:J108)=0, "", IF(COUNTIF(H108:J108, "Đã hoàn thành (Đạt chuẩn)")=3, "ĐỦ 3 TRỤC (100%)", IF(COUNTIF(H108:J108, "Chưa triển khai")=3, "CHƯA GẮN (0%)", "THIẾU / CHƯA ĐẠT (" &amp; COUNTIF(H108:J108, "Đã hoàn thành (Đạt chuẩn)") &amp; "/3)")))</f>
        <v/>
      </c>
      <c r="L108" s="47" t="n"/>
      <c r="M108" s="47" t="n"/>
      <c r="N108" s="47" t="n"/>
      <c r="O108" s="44">
        <f>IF(COUNTA(L108:N108)=0, "", IF(COUNTIF(L108:N108, "Đã có (Đạt chuẩn)")=3, "ĐỦ 3 LEVEL DASHBOARD", IF(COUNTIF(L108:N108, "Chưa có")=3, "CHƯA CÓ DASHBOARD", "THIẾU DASHBOARD (" &amp; COUNTIF(L108:N108, "Đã có (Đạt chuẩn)") &amp; "/3)")))</f>
        <v/>
      </c>
      <c r="P108" s="47" t="n"/>
      <c r="Q108" s="47" t="n"/>
      <c r="R108" s="44">
        <f>IF(C108="", "", IF(P108="Đẩy thẳng Kafka / ES (Vi phạm BLOCKER)", "VI PHẠM (BLOCKER)", IF(AND(K108="ĐỦ 3 TRỤC (100%)", O108="ĐỦ 3 LEVEL DASHBOARD", P108="Qua OTel Collector (Đúng chuẩn)"), "ĐẠT CHUẨN QG2 (PASS)", IF(AND(K108="CHƯA GẮN (0%)", O108="CHƯA CÓ DASHBOARD"), "CHƯA TRIỂN KHAI", "ĐANG HOÀN THIỆN (PENDING)"))))</f>
        <v/>
      </c>
      <c r="S108" s="45" t="n"/>
      <c r="T108" s="45" t="n"/>
      <c r="U108" s="47" t="n"/>
      <c r="V108" s="45" t="n"/>
    </row>
    <row r="109" ht="24" customHeight="1">
      <c r="A109" s="44">
        <f>IF(COUNTA(B109:C109)=0, "", COUNTA($C$6:C109))</f>
        <v/>
      </c>
      <c r="B109" s="24" t="n"/>
      <c r="C109" s="48" t="n"/>
      <c r="D109" s="25" t="n"/>
      <c r="E109" s="25" t="n"/>
      <c r="F109" s="44">
        <f>IF(E109="", "", IF(OR(E109=".NET 8 (SDK v1.5+ hỗ trợ chính thức)", E109=".NET 6 / .NET 7 (SDK v1.5+ hỗ trợ chính thức)"), "Hỗ trợ chuẩn SDK (.NET 6/7/8)", "Ngoài phạm vi SDK (Dùng OTel Native)"))</f>
        <v/>
      </c>
      <c r="G109" s="25" t="n"/>
      <c r="H109" s="25" t="n"/>
      <c r="I109" s="25" t="n"/>
      <c r="J109" s="25" t="n"/>
      <c r="K109" s="44">
        <f>IF(COUNTA(H109:J109)=0, "", IF(COUNTIF(H109:J109, "Đã hoàn thành (Đạt chuẩn)")=3, "ĐỦ 3 TRỤC (100%)", IF(COUNTIF(H109:J109, "Chưa triển khai")=3, "CHƯA GẮN (0%)", "THIẾU / CHƯA ĐẠT (" &amp; COUNTIF(H109:J109, "Đã hoàn thành (Đạt chuẩn)") &amp; "/3)")))</f>
        <v/>
      </c>
      <c r="L109" s="25" t="n"/>
      <c r="M109" s="25" t="n"/>
      <c r="N109" s="25" t="n"/>
      <c r="O109" s="44">
        <f>IF(COUNTA(L109:N109)=0, "", IF(COUNTIF(L109:N109, "Đã có (Đạt chuẩn)")=3, "ĐỦ 3 LEVEL DASHBOARD", IF(COUNTIF(L109:N109, "Chưa có")=3, "CHƯA CÓ DASHBOARD", "THIẾU DASHBOARD (" &amp; COUNTIF(L109:N109, "Đã có (Đạt chuẩn)") &amp; "/3)")))</f>
        <v/>
      </c>
      <c r="P109" s="25" t="n"/>
      <c r="Q109" s="25" t="n"/>
      <c r="R109" s="44">
        <f>IF(C109="", "", IF(P109="Đẩy thẳng Kafka / ES (Vi phạm BLOCKER)", "VI PHẠM (BLOCKER)", IF(AND(K109="ĐỦ 3 TRỤC (100%)", O109="ĐỦ 3 LEVEL DASHBOARD", P109="Qua OTel Collector (Đúng chuẩn)"), "ĐẠT CHUẨN QG2 (PASS)", IF(AND(K109="CHƯA GẮN (0%)", O109="CHƯA CÓ DASHBOARD"), "CHƯA TRIỂN KHAI", "ĐANG HOÀN THIỆN (PENDING)"))))</f>
        <v/>
      </c>
      <c r="S109" s="24" t="n"/>
      <c r="T109" s="24" t="n"/>
      <c r="U109" s="25" t="n"/>
      <c r="V109" s="24" t="n"/>
    </row>
    <row r="110" ht="24" customHeight="1">
      <c r="A110" s="44">
        <f>IF(COUNTA(B110:C110)=0, "", COUNTA($C$6:C110))</f>
        <v/>
      </c>
      <c r="B110" s="45" t="n"/>
      <c r="C110" s="46" t="n"/>
      <c r="D110" s="47" t="n"/>
      <c r="E110" s="47" t="n"/>
      <c r="F110" s="44">
        <f>IF(E110="", "", IF(OR(E110=".NET 8 (SDK v1.5+ hỗ trợ chính thức)", E110=".NET 6 / .NET 7 (SDK v1.5+ hỗ trợ chính thức)"), "Hỗ trợ chuẩn SDK (.NET 6/7/8)", "Ngoài phạm vi SDK (Dùng OTel Native)"))</f>
        <v/>
      </c>
      <c r="G110" s="47" t="n"/>
      <c r="H110" s="47" t="n"/>
      <c r="I110" s="47" t="n"/>
      <c r="J110" s="47" t="n"/>
      <c r="K110" s="44">
        <f>IF(COUNTA(H110:J110)=0, "", IF(COUNTIF(H110:J110, "Đã hoàn thành (Đạt chuẩn)")=3, "ĐỦ 3 TRỤC (100%)", IF(COUNTIF(H110:J110, "Chưa triển khai")=3, "CHƯA GẮN (0%)", "THIẾU / CHƯA ĐẠT (" &amp; COUNTIF(H110:J110, "Đã hoàn thành (Đạt chuẩn)") &amp; "/3)")))</f>
        <v/>
      </c>
      <c r="L110" s="47" t="n"/>
      <c r="M110" s="47" t="n"/>
      <c r="N110" s="47" t="n"/>
      <c r="O110" s="44">
        <f>IF(COUNTA(L110:N110)=0, "", IF(COUNTIF(L110:N110, "Đã có (Đạt chuẩn)")=3, "ĐỦ 3 LEVEL DASHBOARD", IF(COUNTIF(L110:N110, "Chưa có")=3, "CHƯA CÓ DASHBOARD", "THIẾU DASHBOARD (" &amp; COUNTIF(L110:N110, "Đã có (Đạt chuẩn)") &amp; "/3)")))</f>
        <v/>
      </c>
      <c r="P110" s="47" t="n"/>
      <c r="Q110" s="47" t="n"/>
      <c r="R110" s="44">
        <f>IF(C110="", "", IF(P110="Đẩy thẳng Kafka / ES (Vi phạm BLOCKER)", "VI PHẠM (BLOCKER)", IF(AND(K110="ĐỦ 3 TRỤC (100%)", O110="ĐỦ 3 LEVEL DASHBOARD", P110="Qua OTel Collector (Đúng chuẩn)"), "ĐẠT CHUẨN QG2 (PASS)", IF(AND(K110="CHƯA GẮN (0%)", O110="CHƯA CÓ DASHBOARD"), "CHƯA TRIỂN KHAI", "ĐANG HOÀN THIỆN (PENDING)"))))</f>
        <v/>
      </c>
      <c r="S110" s="45" t="n"/>
      <c r="T110" s="45" t="n"/>
      <c r="U110" s="47" t="n"/>
      <c r="V110" s="45" t="n"/>
    </row>
    <row r="111" ht="24" customHeight="1">
      <c r="A111" s="44">
        <f>IF(COUNTA(B111:C111)=0, "", COUNTA($C$6:C111))</f>
        <v/>
      </c>
      <c r="B111" s="24" t="n"/>
      <c r="C111" s="48" t="n"/>
      <c r="D111" s="25" t="n"/>
      <c r="E111" s="25" t="n"/>
      <c r="F111" s="44">
        <f>IF(E111="", "", IF(OR(E111=".NET 8 (SDK v1.5+ hỗ trợ chính thức)", E111=".NET 6 / .NET 7 (SDK v1.5+ hỗ trợ chính thức)"), "Hỗ trợ chuẩn SDK (.NET 6/7/8)", "Ngoài phạm vi SDK (Dùng OTel Native)"))</f>
        <v/>
      </c>
      <c r="G111" s="25" t="n"/>
      <c r="H111" s="25" t="n"/>
      <c r="I111" s="25" t="n"/>
      <c r="J111" s="25" t="n"/>
      <c r="K111" s="44">
        <f>IF(COUNTA(H111:J111)=0, "", IF(COUNTIF(H111:J111, "Đã hoàn thành (Đạt chuẩn)")=3, "ĐỦ 3 TRỤC (100%)", IF(COUNTIF(H111:J111, "Chưa triển khai")=3, "CHƯA GẮN (0%)", "THIẾU / CHƯA ĐẠT (" &amp; COUNTIF(H111:J111, "Đã hoàn thành (Đạt chuẩn)") &amp; "/3)")))</f>
        <v/>
      </c>
      <c r="L111" s="25" t="n"/>
      <c r="M111" s="25" t="n"/>
      <c r="N111" s="25" t="n"/>
      <c r="O111" s="44">
        <f>IF(COUNTA(L111:N111)=0, "", IF(COUNTIF(L111:N111, "Đã có (Đạt chuẩn)")=3, "ĐỦ 3 LEVEL DASHBOARD", IF(COUNTIF(L111:N111, "Chưa có")=3, "CHƯA CÓ DASHBOARD", "THIẾU DASHBOARD (" &amp; COUNTIF(L111:N111, "Đã có (Đạt chuẩn)") &amp; "/3)")))</f>
        <v/>
      </c>
      <c r="P111" s="25" t="n"/>
      <c r="Q111" s="25" t="n"/>
      <c r="R111" s="44">
        <f>IF(C111="", "", IF(P111="Đẩy thẳng Kafka / ES (Vi phạm BLOCKER)", "VI PHẠM (BLOCKER)", IF(AND(K111="ĐỦ 3 TRỤC (100%)", O111="ĐỦ 3 LEVEL DASHBOARD", P111="Qua OTel Collector (Đúng chuẩn)"), "ĐẠT CHUẨN QG2 (PASS)", IF(AND(K111="CHƯA GẮN (0%)", O111="CHƯA CÓ DASHBOARD"), "CHƯA TRIỂN KHAI", "ĐANG HOÀN THIỆN (PENDING)"))))</f>
        <v/>
      </c>
      <c r="S111" s="24" t="n"/>
      <c r="T111" s="24" t="n"/>
      <c r="U111" s="25" t="n"/>
      <c r="V111" s="24" t="n"/>
    </row>
    <row r="112" ht="24" customHeight="1">
      <c r="A112" s="44">
        <f>IF(COUNTA(B112:C112)=0, "", COUNTA($C$6:C112))</f>
        <v/>
      </c>
      <c r="B112" s="45" t="n"/>
      <c r="C112" s="46" t="n"/>
      <c r="D112" s="47" t="n"/>
      <c r="E112" s="47" t="n"/>
      <c r="F112" s="44">
        <f>IF(E112="", "", IF(OR(E112=".NET 8 (SDK v1.5+ hỗ trợ chính thức)", E112=".NET 6 / .NET 7 (SDK v1.5+ hỗ trợ chính thức)"), "Hỗ trợ chuẩn SDK (.NET 6/7/8)", "Ngoài phạm vi SDK (Dùng OTel Native)"))</f>
        <v/>
      </c>
      <c r="G112" s="47" t="n"/>
      <c r="H112" s="47" t="n"/>
      <c r="I112" s="47" t="n"/>
      <c r="J112" s="47" t="n"/>
      <c r="K112" s="44">
        <f>IF(COUNTA(H112:J112)=0, "", IF(COUNTIF(H112:J112, "Đã hoàn thành (Đạt chuẩn)")=3, "ĐỦ 3 TRỤC (100%)", IF(COUNTIF(H112:J112, "Chưa triển khai")=3, "CHƯA GẮN (0%)", "THIẾU / CHƯA ĐẠT (" &amp; COUNTIF(H112:J112, "Đã hoàn thành (Đạt chuẩn)") &amp; "/3)")))</f>
        <v/>
      </c>
      <c r="L112" s="47" t="n"/>
      <c r="M112" s="47" t="n"/>
      <c r="N112" s="47" t="n"/>
      <c r="O112" s="44">
        <f>IF(COUNTA(L112:N112)=0, "", IF(COUNTIF(L112:N112, "Đã có (Đạt chuẩn)")=3, "ĐỦ 3 LEVEL DASHBOARD", IF(COUNTIF(L112:N112, "Chưa có")=3, "CHƯA CÓ DASHBOARD", "THIẾU DASHBOARD (" &amp; COUNTIF(L112:N112, "Đã có (Đạt chuẩn)") &amp; "/3)")))</f>
        <v/>
      </c>
      <c r="P112" s="47" t="n"/>
      <c r="Q112" s="47" t="n"/>
      <c r="R112" s="44">
        <f>IF(C112="", "", IF(P112="Đẩy thẳng Kafka / ES (Vi phạm BLOCKER)", "VI PHẠM (BLOCKER)", IF(AND(K112="ĐỦ 3 TRỤC (100%)", O112="ĐỦ 3 LEVEL DASHBOARD", P112="Qua OTel Collector (Đúng chuẩn)"), "ĐẠT CHUẨN QG2 (PASS)", IF(AND(K112="CHƯA GẮN (0%)", O112="CHƯA CÓ DASHBOARD"), "CHƯA TRIỂN KHAI", "ĐANG HOÀN THIỆN (PENDING)"))))</f>
        <v/>
      </c>
      <c r="S112" s="45" t="n"/>
      <c r="T112" s="45" t="n"/>
      <c r="U112" s="47" t="n"/>
      <c r="V112" s="45" t="n"/>
    </row>
    <row r="113" ht="24" customHeight="1">
      <c r="A113" s="44">
        <f>IF(COUNTA(B113:C113)=0, "", COUNTA($C$6:C113))</f>
        <v/>
      </c>
      <c r="B113" s="24" t="n"/>
      <c r="C113" s="48" t="n"/>
      <c r="D113" s="25" t="n"/>
      <c r="E113" s="25" t="n"/>
      <c r="F113" s="44">
        <f>IF(E113="", "", IF(OR(E113=".NET 8 (SDK v1.5+ hỗ trợ chính thức)", E113=".NET 6 / .NET 7 (SDK v1.5+ hỗ trợ chính thức)"), "Hỗ trợ chuẩn SDK (.NET 6/7/8)", "Ngoài phạm vi SDK (Dùng OTel Native)"))</f>
        <v/>
      </c>
      <c r="G113" s="25" t="n"/>
      <c r="H113" s="25" t="n"/>
      <c r="I113" s="25" t="n"/>
      <c r="J113" s="25" t="n"/>
      <c r="K113" s="44">
        <f>IF(COUNTA(H113:J113)=0, "", IF(COUNTIF(H113:J113, "Đã hoàn thành (Đạt chuẩn)")=3, "ĐỦ 3 TRỤC (100%)", IF(COUNTIF(H113:J113, "Chưa triển khai")=3, "CHƯA GẮN (0%)", "THIẾU / CHƯA ĐẠT (" &amp; COUNTIF(H113:J113, "Đã hoàn thành (Đạt chuẩn)") &amp; "/3)")))</f>
        <v/>
      </c>
      <c r="L113" s="25" t="n"/>
      <c r="M113" s="25" t="n"/>
      <c r="N113" s="25" t="n"/>
      <c r="O113" s="44">
        <f>IF(COUNTA(L113:N113)=0, "", IF(COUNTIF(L113:N113, "Đã có (Đạt chuẩn)")=3, "ĐỦ 3 LEVEL DASHBOARD", IF(COUNTIF(L113:N113, "Chưa có")=3, "CHƯA CÓ DASHBOARD", "THIẾU DASHBOARD (" &amp; COUNTIF(L113:N113, "Đã có (Đạt chuẩn)") &amp; "/3)")))</f>
        <v/>
      </c>
      <c r="P113" s="25" t="n"/>
      <c r="Q113" s="25" t="n"/>
      <c r="R113" s="44">
        <f>IF(C113="", "", IF(P113="Đẩy thẳng Kafka / ES (Vi phạm BLOCKER)", "VI PHẠM (BLOCKER)", IF(AND(K113="ĐỦ 3 TRỤC (100%)", O113="ĐỦ 3 LEVEL DASHBOARD", P113="Qua OTel Collector (Đúng chuẩn)"), "ĐẠT CHUẨN QG2 (PASS)", IF(AND(K113="CHƯA GẮN (0%)", O113="CHƯA CÓ DASHBOARD"), "CHƯA TRIỂN KHAI", "ĐANG HOÀN THIỆN (PENDING)"))))</f>
        <v/>
      </c>
      <c r="S113" s="24" t="n"/>
      <c r="T113" s="24" t="n"/>
      <c r="U113" s="25" t="n"/>
      <c r="V113" s="24" t="n"/>
    </row>
    <row r="114" ht="24" customHeight="1">
      <c r="A114" s="44">
        <f>IF(COUNTA(B114:C114)=0, "", COUNTA($C$6:C114))</f>
        <v/>
      </c>
      <c r="B114" s="45" t="n"/>
      <c r="C114" s="46" t="n"/>
      <c r="D114" s="47" t="n"/>
      <c r="E114" s="47" t="n"/>
      <c r="F114" s="44">
        <f>IF(E114="", "", IF(OR(E114=".NET 8 (SDK v1.5+ hỗ trợ chính thức)", E114=".NET 6 / .NET 7 (SDK v1.5+ hỗ trợ chính thức)"), "Hỗ trợ chuẩn SDK (.NET 6/7/8)", "Ngoài phạm vi SDK (Dùng OTel Native)"))</f>
        <v/>
      </c>
      <c r="G114" s="47" t="n"/>
      <c r="H114" s="47" t="n"/>
      <c r="I114" s="47" t="n"/>
      <c r="J114" s="47" t="n"/>
      <c r="K114" s="44">
        <f>IF(COUNTA(H114:J114)=0, "", IF(COUNTIF(H114:J114, "Đã hoàn thành (Đạt chuẩn)")=3, "ĐỦ 3 TRỤC (100%)", IF(COUNTIF(H114:J114, "Chưa triển khai")=3, "CHƯA GẮN (0%)", "THIẾU / CHƯA ĐẠT (" &amp; COUNTIF(H114:J114, "Đã hoàn thành (Đạt chuẩn)") &amp; "/3)")))</f>
        <v/>
      </c>
      <c r="L114" s="47" t="n"/>
      <c r="M114" s="47" t="n"/>
      <c r="N114" s="47" t="n"/>
      <c r="O114" s="44">
        <f>IF(COUNTA(L114:N114)=0, "", IF(COUNTIF(L114:N114, "Đã có (Đạt chuẩn)")=3, "ĐỦ 3 LEVEL DASHBOARD", IF(COUNTIF(L114:N114, "Chưa có")=3, "CHƯA CÓ DASHBOARD", "THIẾU DASHBOARD (" &amp; COUNTIF(L114:N114, "Đã có (Đạt chuẩn)") &amp; "/3)")))</f>
        <v/>
      </c>
      <c r="P114" s="47" t="n"/>
      <c r="Q114" s="47" t="n"/>
      <c r="R114" s="44">
        <f>IF(C114="", "", IF(P114="Đẩy thẳng Kafka / ES (Vi phạm BLOCKER)", "VI PHẠM (BLOCKER)", IF(AND(K114="ĐỦ 3 TRỤC (100%)", O114="ĐỦ 3 LEVEL DASHBOARD", P114="Qua OTel Collector (Đúng chuẩn)"), "ĐẠT CHUẨN QG2 (PASS)", IF(AND(K114="CHƯA GẮN (0%)", O114="CHƯA CÓ DASHBOARD"), "CHƯA TRIỂN KHAI", "ĐANG HOÀN THIỆN (PENDING)"))))</f>
        <v/>
      </c>
      <c r="S114" s="45" t="n"/>
      <c r="T114" s="45" t="n"/>
      <c r="U114" s="47" t="n"/>
      <c r="V114" s="45" t="n"/>
    </row>
    <row r="115" ht="24" customHeight="1">
      <c r="A115" s="44">
        <f>IF(COUNTA(B115:C115)=0, "", COUNTA($C$6:C115))</f>
        <v/>
      </c>
      <c r="B115" s="24" t="n"/>
      <c r="C115" s="48" t="n"/>
      <c r="D115" s="25" t="n"/>
      <c r="E115" s="25" t="n"/>
      <c r="F115" s="44">
        <f>IF(E115="", "", IF(OR(E115=".NET 8 (SDK v1.5+ hỗ trợ chính thức)", E115=".NET 6 / .NET 7 (SDK v1.5+ hỗ trợ chính thức)"), "Hỗ trợ chuẩn SDK (.NET 6/7/8)", "Ngoài phạm vi SDK (Dùng OTel Native)"))</f>
        <v/>
      </c>
      <c r="G115" s="25" t="n"/>
      <c r="H115" s="25" t="n"/>
      <c r="I115" s="25" t="n"/>
      <c r="J115" s="25" t="n"/>
      <c r="K115" s="44">
        <f>IF(COUNTA(H115:J115)=0, "", IF(COUNTIF(H115:J115, "Đã hoàn thành (Đạt chuẩn)")=3, "ĐỦ 3 TRỤC (100%)", IF(COUNTIF(H115:J115, "Chưa triển khai")=3, "CHƯA GẮN (0%)", "THIẾU / CHƯA ĐẠT (" &amp; COUNTIF(H115:J115, "Đã hoàn thành (Đạt chuẩn)") &amp; "/3)")))</f>
        <v/>
      </c>
      <c r="L115" s="25" t="n"/>
      <c r="M115" s="25" t="n"/>
      <c r="N115" s="25" t="n"/>
      <c r="O115" s="44">
        <f>IF(COUNTA(L115:N115)=0, "", IF(COUNTIF(L115:N115, "Đã có (Đạt chuẩn)")=3, "ĐỦ 3 LEVEL DASHBOARD", IF(COUNTIF(L115:N115, "Chưa có")=3, "CHƯA CÓ DASHBOARD", "THIẾU DASHBOARD (" &amp; COUNTIF(L115:N115, "Đã có (Đạt chuẩn)") &amp; "/3)")))</f>
        <v/>
      </c>
      <c r="P115" s="25" t="n"/>
      <c r="Q115" s="25" t="n"/>
      <c r="R115" s="44">
        <f>IF(C115="", "", IF(P115="Đẩy thẳng Kafka / ES (Vi phạm BLOCKER)", "VI PHẠM (BLOCKER)", IF(AND(K115="ĐỦ 3 TRỤC (100%)", O115="ĐỦ 3 LEVEL DASHBOARD", P115="Qua OTel Collector (Đúng chuẩn)"), "ĐẠT CHUẨN QG2 (PASS)", IF(AND(K115="CHƯA GẮN (0%)", O115="CHƯA CÓ DASHBOARD"), "CHƯA TRIỂN KHAI", "ĐANG HOÀN THIỆN (PENDING)"))))</f>
        <v/>
      </c>
      <c r="S115" s="24" t="n"/>
      <c r="T115" s="24" t="n"/>
      <c r="U115" s="25" t="n"/>
      <c r="V115" s="24" t="n"/>
    </row>
    <row r="116" ht="24" customHeight="1">
      <c r="A116" s="44">
        <f>IF(COUNTA(B116:C116)=0, "", COUNTA($C$6:C116))</f>
        <v/>
      </c>
      <c r="B116" s="45" t="n"/>
      <c r="C116" s="46" t="n"/>
      <c r="D116" s="47" t="n"/>
      <c r="E116" s="47" t="n"/>
      <c r="F116" s="44">
        <f>IF(E116="", "", IF(OR(E116=".NET 8 (SDK v1.5+ hỗ trợ chính thức)", E116=".NET 6 / .NET 7 (SDK v1.5+ hỗ trợ chính thức)"), "Hỗ trợ chuẩn SDK (.NET 6/7/8)", "Ngoài phạm vi SDK (Dùng OTel Native)"))</f>
        <v/>
      </c>
      <c r="G116" s="47" t="n"/>
      <c r="H116" s="47" t="n"/>
      <c r="I116" s="47" t="n"/>
      <c r="J116" s="47" t="n"/>
      <c r="K116" s="44">
        <f>IF(COUNTA(H116:J116)=0, "", IF(COUNTIF(H116:J116, "Đã hoàn thành (Đạt chuẩn)")=3, "ĐỦ 3 TRỤC (100%)", IF(COUNTIF(H116:J116, "Chưa triển khai")=3, "CHƯA GẮN (0%)", "THIẾU / CHƯA ĐẠT (" &amp; COUNTIF(H116:J116, "Đã hoàn thành (Đạt chuẩn)") &amp; "/3)")))</f>
        <v/>
      </c>
      <c r="L116" s="47" t="n"/>
      <c r="M116" s="47" t="n"/>
      <c r="N116" s="47" t="n"/>
      <c r="O116" s="44">
        <f>IF(COUNTA(L116:N116)=0, "", IF(COUNTIF(L116:N116, "Đã có (Đạt chuẩn)")=3, "ĐỦ 3 LEVEL DASHBOARD", IF(COUNTIF(L116:N116, "Chưa có")=3, "CHƯA CÓ DASHBOARD", "THIẾU DASHBOARD (" &amp; COUNTIF(L116:N116, "Đã có (Đạt chuẩn)") &amp; "/3)")))</f>
        <v/>
      </c>
      <c r="P116" s="47" t="n"/>
      <c r="Q116" s="47" t="n"/>
      <c r="R116" s="44">
        <f>IF(C116="", "", IF(P116="Đẩy thẳng Kafka / ES (Vi phạm BLOCKER)", "VI PHẠM (BLOCKER)", IF(AND(K116="ĐỦ 3 TRỤC (100%)", O116="ĐỦ 3 LEVEL DASHBOARD", P116="Qua OTel Collector (Đúng chuẩn)"), "ĐẠT CHUẨN QG2 (PASS)", IF(AND(K116="CHƯA GẮN (0%)", O116="CHƯA CÓ DASHBOARD"), "CHƯA TRIỂN KHAI", "ĐANG HOÀN THIỆN (PENDING)"))))</f>
        <v/>
      </c>
      <c r="S116" s="45" t="n"/>
      <c r="T116" s="45" t="n"/>
      <c r="U116" s="47" t="n"/>
      <c r="V116" s="45" t="n"/>
    </row>
    <row r="117" ht="24" customHeight="1">
      <c r="A117" s="44">
        <f>IF(COUNTA(B117:C117)=0, "", COUNTA($C$6:C117))</f>
        <v/>
      </c>
      <c r="B117" s="24" t="n"/>
      <c r="C117" s="48" t="n"/>
      <c r="D117" s="25" t="n"/>
      <c r="E117" s="25" t="n"/>
      <c r="F117" s="44">
        <f>IF(E117="", "", IF(OR(E117=".NET 8 (SDK v1.5+ hỗ trợ chính thức)", E117=".NET 6 / .NET 7 (SDK v1.5+ hỗ trợ chính thức)"), "Hỗ trợ chuẩn SDK (.NET 6/7/8)", "Ngoài phạm vi SDK (Dùng OTel Native)"))</f>
        <v/>
      </c>
      <c r="G117" s="25" t="n"/>
      <c r="H117" s="25" t="n"/>
      <c r="I117" s="25" t="n"/>
      <c r="J117" s="25" t="n"/>
      <c r="K117" s="44">
        <f>IF(COUNTA(H117:J117)=0, "", IF(COUNTIF(H117:J117, "Đã hoàn thành (Đạt chuẩn)")=3, "ĐỦ 3 TRỤC (100%)", IF(COUNTIF(H117:J117, "Chưa triển khai")=3, "CHƯA GẮN (0%)", "THIẾU / CHƯA ĐẠT (" &amp; COUNTIF(H117:J117, "Đã hoàn thành (Đạt chuẩn)") &amp; "/3)")))</f>
        <v/>
      </c>
      <c r="L117" s="25" t="n"/>
      <c r="M117" s="25" t="n"/>
      <c r="N117" s="25" t="n"/>
      <c r="O117" s="44">
        <f>IF(COUNTA(L117:N117)=0, "", IF(COUNTIF(L117:N117, "Đã có (Đạt chuẩn)")=3, "ĐỦ 3 LEVEL DASHBOARD", IF(COUNTIF(L117:N117, "Chưa có")=3, "CHƯA CÓ DASHBOARD", "THIẾU DASHBOARD (" &amp; COUNTIF(L117:N117, "Đã có (Đạt chuẩn)") &amp; "/3)")))</f>
        <v/>
      </c>
      <c r="P117" s="25" t="n"/>
      <c r="Q117" s="25" t="n"/>
      <c r="R117" s="44">
        <f>IF(C117="", "", IF(P117="Đẩy thẳng Kafka / ES (Vi phạm BLOCKER)", "VI PHẠM (BLOCKER)", IF(AND(K117="ĐỦ 3 TRỤC (100%)", O117="ĐỦ 3 LEVEL DASHBOARD", P117="Qua OTel Collector (Đúng chuẩn)"), "ĐẠT CHUẨN QG2 (PASS)", IF(AND(K117="CHƯA GẮN (0%)", O117="CHƯA CÓ DASHBOARD"), "CHƯA TRIỂN KHAI", "ĐANG HOÀN THIỆN (PENDING)"))))</f>
        <v/>
      </c>
      <c r="S117" s="24" t="n"/>
      <c r="T117" s="24" t="n"/>
      <c r="U117" s="25" t="n"/>
      <c r="V117" s="24" t="n"/>
    </row>
    <row r="118" ht="24" customHeight="1">
      <c r="A118" s="44">
        <f>IF(COUNTA(B118:C118)=0, "", COUNTA($C$6:C118))</f>
        <v/>
      </c>
      <c r="B118" s="45" t="n"/>
      <c r="C118" s="46" t="n"/>
      <c r="D118" s="47" t="n"/>
      <c r="E118" s="47" t="n"/>
      <c r="F118" s="44">
        <f>IF(E118="", "", IF(OR(E118=".NET 8 (SDK v1.5+ hỗ trợ chính thức)", E118=".NET 6 / .NET 7 (SDK v1.5+ hỗ trợ chính thức)"), "Hỗ trợ chuẩn SDK (.NET 6/7/8)", "Ngoài phạm vi SDK (Dùng OTel Native)"))</f>
        <v/>
      </c>
      <c r="G118" s="47" t="n"/>
      <c r="H118" s="47" t="n"/>
      <c r="I118" s="47" t="n"/>
      <c r="J118" s="47" t="n"/>
      <c r="K118" s="44">
        <f>IF(COUNTA(H118:J118)=0, "", IF(COUNTIF(H118:J118, "Đã hoàn thành (Đạt chuẩn)")=3, "ĐỦ 3 TRỤC (100%)", IF(COUNTIF(H118:J118, "Chưa triển khai")=3, "CHƯA GẮN (0%)", "THIẾU / CHƯA ĐẠT (" &amp; COUNTIF(H118:J118, "Đã hoàn thành (Đạt chuẩn)") &amp; "/3)")))</f>
        <v/>
      </c>
      <c r="L118" s="47" t="n"/>
      <c r="M118" s="47" t="n"/>
      <c r="N118" s="47" t="n"/>
      <c r="O118" s="44">
        <f>IF(COUNTA(L118:N118)=0, "", IF(COUNTIF(L118:N118, "Đã có (Đạt chuẩn)")=3, "ĐỦ 3 LEVEL DASHBOARD", IF(COUNTIF(L118:N118, "Chưa có")=3, "CHƯA CÓ DASHBOARD", "THIẾU DASHBOARD (" &amp; COUNTIF(L118:N118, "Đã có (Đạt chuẩn)") &amp; "/3)")))</f>
        <v/>
      </c>
      <c r="P118" s="47" t="n"/>
      <c r="Q118" s="47" t="n"/>
      <c r="R118" s="44">
        <f>IF(C118="", "", IF(P118="Đẩy thẳng Kafka / ES (Vi phạm BLOCKER)", "VI PHẠM (BLOCKER)", IF(AND(K118="ĐỦ 3 TRỤC (100%)", O118="ĐỦ 3 LEVEL DASHBOARD", P118="Qua OTel Collector (Đúng chuẩn)"), "ĐẠT CHUẨN QG2 (PASS)", IF(AND(K118="CHƯA GẮN (0%)", O118="CHƯA CÓ DASHBOARD"), "CHƯA TRIỂN KHAI", "ĐANG HOÀN THIỆN (PENDING)"))))</f>
        <v/>
      </c>
      <c r="S118" s="45" t="n"/>
      <c r="T118" s="45" t="n"/>
      <c r="U118" s="47" t="n"/>
      <c r="V118" s="45" t="n"/>
    </row>
    <row r="119" ht="24" customHeight="1">
      <c r="A119" s="44">
        <f>IF(COUNTA(B119:C119)=0, "", COUNTA($C$6:C119))</f>
        <v/>
      </c>
      <c r="B119" s="24" t="n"/>
      <c r="C119" s="48" t="n"/>
      <c r="D119" s="25" t="n"/>
      <c r="E119" s="25" t="n"/>
      <c r="F119" s="44">
        <f>IF(E119="", "", IF(OR(E119=".NET 8 (SDK v1.5+ hỗ trợ chính thức)", E119=".NET 6 / .NET 7 (SDK v1.5+ hỗ trợ chính thức)"), "Hỗ trợ chuẩn SDK (.NET 6/7/8)", "Ngoài phạm vi SDK (Dùng OTel Native)"))</f>
        <v/>
      </c>
      <c r="G119" s="25" t="n"/>
      <c r="H119" s="25" t="n"/>
      <c r="I119" s="25" t="n"/>
      <c r="J119" s="25" t="n"/>
      <c r="K119" s="44">
        <f>IF(COUNTA(H119:J119)=0, "", IF(COUNTIF(H119:J119, "Đã hoàn thành (Đạt chuẩn)")=3, "ĐỦ 3 TRỤC (100%)", IF(COUNTIF(H119:J119, "Chưa triển khai")=3, "CHƯA GẮN (0%)", "THIẾU / CHƯA ĐẠT (" &amp; COUNTIF(H119:J119, "Đã hoàn thành (Đạt chuẩn)") &amp; "/3)")))</f>
        <v/>
      </c>
      <c r="L119" s="25" t="n"/>
      <c r="M119" s="25" t="n"/>
      <c r="N119" s="25" t="n"/>
      <c r="O119" s="44">
        <f>IF(COUNTA(L119:N119)=0, "", IF(COUNTIF(L119:N119, "Đã có (Đạt chuẩn)")=3, "ĐỦ 3 LEVEL DASHBOARD", IF(COUNTIF(L119:N119, "Chưa có")=3, "CHƯA CÓ DASHBOARD", "THIẾU DASHBOARD (" &amp; COUNTIF(L119:N119, "Đã có (Đạt chuẩn)") &amp; "/3)")))</f>
        <v/>
      </c>
      <c r="P119" s="25" t="n"/>
      <c r="Q119" s="25" t="n"/>
      <c r="R119" s="44">
        <f>IF(C119="", "", IF(P119="Đẩy thẳng Kafka / ES (Vi phạm BLOCKER)", "VI PHẠM (BLOCKER)", IF(AND(K119="ĐỦ 3 TRỤC (100%)", O119="ĐỦ 3 LEVEL DASHBOARD", P119="Qua OTel Collector (Đúng chuẩn)"), "ĐẠT CHUẨN QG2 (PASS)", IF(AND(K119="CHƯA GẮN (0%)", O119="CHƯA CÓ DASHBOARD"), "CHƯA TRIỂN KHAI", "ĐANG HOÀN THIỆN (PENDING)"))))</f>
        <v/>
      </c>
      <c r="S119" s="24" t="n"/>
      <c r="T119" s="24" t="n"/>
      <c r="U119" s="25" t="n"/>
      <c r="V119" s="24" t="n"/>
    </row>
    <row r="120" ht="24" customHeight="1">
      <c r="A120" s="44">
        <f>IF(COUNTA(B120:C120)=0, "", COUNTA($C$6:C120))</f>
        <v/>
      </c>
      <c r="B120" s="45" t="n"/>
      <c r="C120" s="46" t="n"/>
      <c r="D120" s="47" t="n"/>
      <c r="E120" s="47" t="n"/>
      <c r="F120" s="44">
        <f>IF(E120="", "", IF(OR(E120=".NET 8 (SDK v1.5+ hỗ trợ chính thức)", E120=".NET 6 / .NET 7 (SDK v1.5+ hỗ trợ chính thức)"), "Hỗ trợ chuẩn SDK (.NET 6/7/8)", "Ngoài phạm vi SDK (Dùng OTel Native)"))</f>
        <v/>
      </c>
      <c r="G120" s="47" t="n"/>
      <c r="H120" s="47" t="n"/>
      <c r="I120" s="47" t="n"/>
      <c r="J120" s="47" t="n"/>
      <c r="K120" s="44">
        <f>IF(COUNTA(H120:J120)=0, "", IF(COUNTIF(H120:J120, "Đã hoàn thành (Đạt chuẩn)")=3, "ĐỦ 3 TRỤC (100%)", IF(COUNTIF(H120:J120, "Chưa triển khai")=3, "CHƯA GẮN (0%)", "THIẾU / CHƯA ĐẠT (" &amp; COUNTIF(H120:J120, "Đã hoàn thành (Đạt chuẩn)") &amp; "/3)")))</f>
        <v/>
      </c>
      <c r="L120" s="47" t="n"/>
      <c r="M120" s="47" t="n"/>
      <c r="N120" s="47" t="n"/>
      <c r="O120" s="44">
        <f>IF(COUNTA(L120:N120)=0, "", IF(COUNTIF(L120:N120, "Đã có (Đạt chuẩn)")=3, "ĐỦ 3 LEVEL DASHBOARD", IF(COUNTIF(L120:N120, "Chưa có")=3, "CHƯA CÓ DASHBOARD", "THIẾU DASHBOARD (" &amp; COUNTIF(L120:N120, "Đã có (Đạt chuẩn)") &amp; "/3)")))</f>
        <v/>
      </c>
      <c r="P120" s="47" t="n"/>
      <c r="Q120" s="47" t="n"/>
      <c r="R120" s="44">
        <f>IF(C120="", "", IF(P120="Đẩy thẳng Kafka / ES (Vi phạm BLOCKER)", "VI PHẠM (BLOCKER)", IF(AND(K120="ĐỦ 3 TRỤC (100%)", O120="ĐỦ 3 LEVEL DASHBOARD", P120="Qua OTel Collector (Đúng chuẩn)"), "ĐẠT CHUẨN QG2 (PASS)", IF(AND(K120="CHƯA GẮN (0%)", O120="CHƯA CÓ DASHBOARD"), "CHƯA TRIỂN KHAI", "ĐANG HOÀN THIỆN (PENDING)"))))</f>
        <v/>
      </c>
      <c r="S120" s="45" t="n"/>
      <c r="T120" s="45" t="n"/>
      <c r="U120" s="47" t="n"/>
      <c r="V120" s="45" t="n"/>
    </row>
    <row r="121" ht="24" customHeight="1">
      <c r="A121" s="44">
        <f>IF(COUNTA(B121:C121)=0, "", COUNTA($C$6:C121))</f>
        <v/>
      </c>
      <c r="B121" s="24" t="n"/>
      <c r="C121" s="48" t="n"/>
      <c r="D121" s="25" t="n"/>
      <c r="E121" s="25" t="n"/>
      <c r="F121" s="44">
        <f>IF(E121="", "", IF(OR(E121=".NET 8 (SDK v1.5+ hỗ trợ chính thức)", E121=".NET 6 / .NET 7 (SDK v1.5+ hỗ trợ chính thức)"), "Hỗ trợ chuẩn SDK (.NET 6/7/8)", "Ngoài phạm vi SDK (Dùng OTel Native)"))</f>
        <v/>
      </c>
      <c r="G121" s="25" t="n"/>
      <c r="H121" s="25" t="n"/>
      <c r="I121" s="25" t="n"/>
      <c r="J121" s="25" t="n"/>
      <c r="K121" s="44">
        <f>IF(COUNTA(H121:J121)=0, "", IF(COUNTIF(H121:J121, "Đã hoàn thành (Đạt chuẩn)")=3, "ĐỦ 3 TRỤC (100%)", IF(COUNTIF(H121:J121, "Chưa triển khai")=3, "CHƯA GẮN (0%)", "THIẾU / CHƯA ĐẠT (" &amp; COUNTIF(H121:J121, "Đã hoàn thành (Đạt chuẩn)") &amp; "/3)")))</f>
        <v/>
      </c>
      <c r="L121" s="25" t="n"/>
      <c r="M121" s="25" t="n"/>
      <c r="N121" s="25" t="n"/>
      <c r="O121" s="44">
        <f>IF(COUNTA(L121:N121)=0, "", IF(COUNTIF(L121:N121, "Đã có (Đạt chuẩn)")=3, "ĐỦ 3 LEVEL DASHBOARD", IF(COUNTIF(L121:N121, "Chưa có")=3, "CHƯA CÓ DASHBOARD", "THIẾU DASHBOARD (" &amp; COUNTIF(L121:N121, "Đã có (Đạt chuẩn)") &amp; "/3)")))</f>
        <v/>
      </c>
      <c r="P121" s="25" t="n"/>
      <c r="Q121" s="25" t="n"/>
      <c r="R121" s="44">
        <f>IF(C121="", "", IF(P121="Đẩy thẳng Kafka / ES (Vi phạm BLOCKER)", "VI PHẠM (BLOCKER)", IF(AND(K121="ĐỦ 3 TRỤC (100%)", O121="ĐỦ 3 LEVEL DASHBOARD", P121="Qua OTel Collector (Đúng chuẩn)"), "ĐẠT CHUẨN QG2 (PASS)", IF(AND(K121="CHƯA GẮN (0%)", O121="CHƯA CÓ DASHBOARD"), "CHƯA TRIỂN KHAI", "ĐANG HOÀN THIỆN (PENDING)"))))</f>
        <v/>
      </c>
      <c r="S121" s="24" t="n"/>
      <c r="T121" s="24" t="n"/>
      <c r="U121" s="25" t="n"/>
      <c r="V121" s="24" t="n"/>
    </row>
    <row r="122" ht="24" customHeight="1">
      <c r="A122" s="44">
        <f>IF(COUNTA(B122:C122)=0, "", COUNTA($C$6:C122))</f>
        <v/>
      </c>
      <c r="B122" s="45" t="n"/>
      <c r="C122" s="46" t="n"/>
      <c r="D122" s="47" t="n"/>
      <c r="E122" s="47" t="n"/>
      <c r="F122" s="44">
        <f>IF(E122="", "", IF(OR(E122=".NET 8 (SDK v1.5+ hỗ trợ chính thức)", E122=".NET 6 / .NET 7 (SDK v1.5+ hỗ trợ chính thức)"), "Hỗ trợ chuẩn SDK (.NET 6/7/8)", "Ngoài phạm vi SDK (Dùng OTel Native)"))</f>
        <v/>
      </c>
      <c r="G122" s="47" t="n"/>
      <c r="H122" s="47" t="n"/>
      <c r="I122" s="47" t="n"/>
      <c r="J122" s="47" t="n"/>
      <c r="K122" s="44">
        <f>IF(COUNTA(H122:J122)=0, "", IF(COUNTIF(H122:J122, "Đã hoàn thành (Đạt chuẩn)")=3, "ĐỦ 3 TRỤC (100%)", IF(COUNTIF(H122:J122, "Chưa triển khai")=3, "CHƯA GẮN (0%)", "THIẾU / CHƯA ĐẠT (" &amp; COUNTIF(H122:J122, "Đã hoàn thành (Đạt chuẩn)") &amp; "/3)")))</f>
        <v/>
      </c>
      <c r="L122" s="47" t="n"/>
      <c r="M122" s="47" t="n"/>
      <c r="N122" s="47" t="n"/>
      <c r="O122" s="44">
        <f>IF(COUNTA(L122:N122)=0, "", IF(COUNTIF(L122:N122, "Đã có (Đạt chuẩn)")=3, "ĐỦ 3 LEVEL DASHBOARD", IF(COUNTIF(L122:N122, "Chưa có")=3, "CHƯA CÓ DASHBOARD", "THIẾU DASHBOARD (" &amp; COUNTIF(L122:N122, "Đã có (Đạt chuẩn)") &amp; "/3)")))</f>
        <v/>
      </c>
      <c r="P122" s="47" t="n"/>
      <c r="Q122" s="47" t="n"/>
      <c r="R122" s="44">
        <f>IF(C122="", "", IF(P122="Đẩy thẳng Kafka / ES (Vi phạm BLOCKER)", "VI PHẠM (BLOCKER)", IF(AND(K122="ĐỦ 3 TRỤC (100%)", O122="ĐỦ 3 LEVEL DASHBOARD", P122="Qua OTel Collector (Đúng chuẩn)"), "ĐẠT CHUẨN QG2 (PASS)", IF(AND(K122="CHƯA GẮN (0%)", O122="CHƯA CÓ DASHBOARD"), "CHƯA TRIỂN KHAI", "ĐANG HOÀN THIỆN (PENDING)"))))</f>
        <v/>
      </c>
      <c r="S122" s="45" t="n"/>
      <c r="T122" s="45" t="n"/>
      <c r="U122" s="47" t="n"/>
      <c r="V122" s="45" t="n"/>
    </row>
    <row r="123" ht="24" customHeight="1">
      <c r="A123" s="44">
        <f>IF(COUNTA(B123:C123)=0, "", COUNTA($C$6:C123))</f>
        <v/>
      </c>
      <c r="B123" s="24" t="n"/>
      <c r="C123" s="48" t="n"/>
      <c r="D123" s="25" t="n"/>
      <c r="E123" s="25" t="n"/>
      <c r="F123" s="44">
        <f>IF(E123="", "", IF(OR(E123=".NET 8 (SDK v1.5+ hỗ trợ chính thức)", E123=".NET 6 / .NET 7 (SDK v1.5+ hỗ trợ chính thức)"), "Hỗ trợ chuẩn SDK (.NET 6/7/8)", "Ngoài phạm vi SDK (Dùng OTel Native)"))</f>
        <v/>
      </c>
      <c r="G123" s="25" t="n"/>
      <c r="H123" s="25" t="n"/>
      <c r="I123" s="25" t="n"/>
      <c r="J123" s="25" t="n"/>
      <c r="K123" s="44">
        <f>IF(COUNTA(H123:J123)=0, "", IF(COUNTIF(H123:J123, "Đã hoàn thành (Đạt chuẩn)")=3, "ĐỦ 3 TRỤC (100%)", IF(COUNTIF(H123:J123, "Chưa triển khai")=3, "CHƯA GẮN (0%)", "THIẾU / CHƯA ĐẠT (" &amp; COUNTIF(H123:J123, "Đã hoàn thành (Đạt chuẩn)") &amp; "/3)")))</f>
        <v/>
      </c>
      <c r="L123" s="25" t="n"/>
      <c r="M123" s="25" t="n"/>
      <c r="N123" s="25" t="n"/>
      <c r="O123" s="44">
        <f>IF(COUNTA(L123:N123)=0, "", IF(COUNTIF(L123:N123, "Đã có (Đạt chuẩn)")=3, "ĐỦ 3 LEVEL DASHBOARD", IF(COUNTIF(L123:N123, "Chưa có")=3, "CHƯA CÓ DASHBOARD", "THIẾU DASHBOARD (" &amp; COUNTIF(L123:N123, "Đã có (Đạt chuẩn)") &amp; "/3)")))</f>
        <v/>
      </c>
      <c r="P123" s="25" t="n"/>
      <c r="Q123" s="25" t="n"/>
      <c r="R123" s="44">
        <f>IF(C123="", "", IF(P123="Đẩy thẳng Kafka / ES (Vi phạm BLOCKER)", "VI PHẠM (BLOCKER)", IF(AND(K123="ĐỦ 3 TRỤC (100%)", O123="ĐỦ 3 LEVEL DASHBOARD", P123="Qua OTel Collector (Đúng chuẩn)"), "ĐẠT CHUẨN QG2 (PASS)", IF(AND(K123="CHƯA GẮN (0%)", O123="CHƯA CÓ DASHBOARD"), "CHƯA TRIỂN KHAI", "ĐANG HOÀN THIỆN (PENDING)"))))</f>
        <v/>
      </c>
      <c r="S123" s="24" t="n"/>
      <c r="T123" s="24" t="n"/>
      <c r="U123" s="25" t="n"/>
      <c r="V123" s="24" t="n"/>
    </row>
    <row r="124" ht="24" customHeight="1">
      <c r="A124" s="44">
        <f>IF(COUNTA(B124:C124)=0, "", COUNTA($C$6:C124))</f>
        <v/>
      </c>
      <c r="B124" s="45" t="n"/>
      <c r="C124" s="46" t="n"/>
      <c r="D124" s="47" t="n"/>
      <c r="E124" s="47" t="n"/>
      <c r="F124" s="44">
        <f>IF(E124="", "", IF(OR(E124=".NET 8 (SDK v1.5+ hỗ trợ chính thức)", E124=".NET 6 / .NET 7 (SDK v1.5+ hỗ trợ chính thức)"), "Hỗ trợ chuẩn SDK (.NET 6/7/8)", "Ngoài phạm vi SDK (Dùng OTel Native)"))</f>
        <v/>
      </c>
      <c r="G124" s="47" t="n"/>
      <c r="H124" s="47" t="n"/>
      <c r="I124" s="47" t="n"/>
      <c r="J124" s="47" t="n"/>
      <c r="K124" s="44">
        <f>IF(COUNTA(H124:J124)=0, "", IF(COUNTIF(H124:J124, "Đã hoàn thành (Đạt chuẩn)")=3, "ĐỦ 3 TRỤC (100%)", IF(COUNTIF(H124:J124, "Chưa triển khai")=3, "CHƯA GẮN (0%)", "THIẾU / CHƯA ĐẠT (" &amp; COUNTIF(H124:J124, "Đã hoàn thành (Đạt chuẩn)") &amp; "/3)")))</f>
        <v/>
      </c>
      <c r="L124" s="47" t="n"/>
      <c r="M124" s="47" t="n"/>
      <c r="N124" s="47" t="n"/>
      <c r="O124" s="44">
        <f>IF(COUNTA(L124:N124)=0, "", IF(COUNTIF(L124:N124, "Đã có (Đạt chuẩn)")=3, "ĐỦ 3 LEVEL DASHBOARD", IF(COUNTIF(L124:N124, "Chưa có")=3, "CHƯA CÓ DASHBOARD", "THIẾU DASHBOARD (" &amp; COUNTIF(L124:N124, "Đã có (Đạt chuẩn)") &amp; "/3)")))</f>
        <v/>
      </c>
      <c r="P124" s="47" t="n"/>
      <c r="Q124" s="47" t="n"/>
      <c r="R124" s="44">
        <f>IF(C124="", "", IF(P124="Đẩy thẳng Kafka / ES (Vi phạm BLOCKER)", "VI PHẠM (BLOCKER)", IF(AND(K124="ĐỦ 3 TRỤC (100%)", O124="ĐỦ 3 LEVEL DASHBOARD", P124="Qua OTel Collector (Đúng chuẩn)"), "ĐẠT CHUẨN QG2 (PASS)", IF(AND(K124="CHƯA GẮN (0%)", O124="CHƯA CÓ DASHBOARD"), "CHƯA TRIỂN KHAI", "ĐANG HOÀN THIỆN (PENDING)"))))</f>
        <v/>
      </c>
      <c r="S124" s="45" t="n"/>
      <c r="T124" s="45" t="n"/>
      <c r="U124" s="47" t="n"/>
      <c r="V124" s="45" t="n"/>
    </row>
    <row r="125" ht="24" customHeight="1">
      <c r="A125" s="44">
        <f>IF(COUNTA(B125:C125)=0, "", COUNTA($C$6:C125))</f>
        <v/>
      </c>
      <c r="B125" s="24" t="n"/>
      <c r="C125" s="48" t="n"/>
      <c r="D125" s="25" t="n"/>
      <c r="E125" s="25" t="n"/>
      <c r="F125" s="44">
        <f>IF(E125="", "", IF(OR(E125=".NET 8 (SDK v1.5+ hỗ trợ chính thức)", E125=".NET 6 / .NET 7 (SDK v1.5+ hỗ trợ chính thức)"), "Hỗ trợ chuẩn SDK (.NET 6/7/8)", "Ngoài phạm vi SDK (Dùng OTel Native)"))</f>
        <v/>
      </c>
      <c r="G125" s="25" t="n"/>
      <c r="H125" s="25" t="n"/>
      <c r="I125" s="25" t="n"/>
      <c r="J125" s="25" t="n"/>
      <c r="K125" s="44">
        <f>IF(COUNTA(H125:J125)=0, "", IF(COUNTIF(H125:J125, "Đã hoàn thành (Đạt chuẩn)")=3, "ĐỦ 3 TRỤC (100%)", IF(COUNTIF(H125:J125, "Chưa triển khai")=3, "CHƯA GẮN (0%)", "THIẾU / CHƯA ĐẠT (" &amp; COUNTIF(H125:J125, "Đã hoàn thành (Đạt chuẩn)") &amp; "/3)")))</f>
        <v/>
      </c>
      <c r="L125" s="25" t="n"/>
      <c r="M125" s="25" t="n"/>
      <c r="N125" s="25" t="n"/>
      <c r="O125" s="44">
        <f>IF(COUNTA(L125:N125)=0, "", IF(COUNTIF(L125:N125, "Đã có (Đạt chuẩn)")=3, "ĐỦ 3 LEVEL DASHBOARD", IF(COUNTIF(L125:N125, "Chưa có")=3, "CHƯA CÓ DASHBOARD", "THIẾU DASHBOARD (" &amp; COUNTIF(L125:N125, "Đã có (Đạt chuẩn)") &amp; "/3)")))</f>
        <v/>
      </c>
      <c r="P125" s="25" t="n"/>
      <c r="Q125" s="25" t="n"/>
      <c r="R125" s="44">
        <f>IF(C125="", "", IF(P125="Đẩy thẳng Kafka / ES (Vi phạm BLOCKER)", "VI PHẠM (BLOCKER)", IF(AND(K125="ĐỦ 3 TRỤC (100%)", O125="ĐỦ 3 LEVEL DASHBOARD", P125="Qua OTel Collector (Đúng chuẩn)"), "ĐẠT CHUẨN QG2 (PASS)", IF(AND(K125="CHƯA GẮN (0%)", O125="CHƯA CÓ DASHBOARD"), "CHƯA TRIỂN KHAI", "ĐANG HOÀN THIỆN (PENDING)"))))</f>
        <v/>
      </c>
      <c r="S125" s="24" t="n"/>
      <c r="T125" s="24" t="n"/>
      <c r="U125" s="25" t="n"/>
      <c r="V125" s="24" t="n"/>
    </row>
    <row r="126" ht="24" customHeight="1">
      <c r="A126" s="44">
        <f>IF(COUNTA(B126:C126)=0, "", COUNTA($C$6:C126))</f>
        <v/>
      </c>
      <c r="B126" s="45" t="n"/>
      <c r="C126" s="46" t="n"/>
      <c r="D126" s="47" t="n"/>
      <c r="E126" s="47" t="n"/>
      <c r="F126" s="44">
        <f>IF(E126="", "", IF(OR(E126=".NET 8 (SDK v1.5+ hỗ trợ chính thức)", E126=".NET 6 / .NET 7 (SDK v1.5+ hỗ trợ chính thức)"), "Hỗ trợ chuẩn SDK (.NET 6/7/8)", "Ngoài phạm vi SDK (Dùng OTel Native)"))</f>
        <v/>
      </c>
      <c r="G126" s="47" t="n"/>
      <c r="H126" s="47" t="n"/>
      <c r="I126" s="47" t="n"/>
      <c r="J126" s="47" t="n"/>
      <c r="K126" s="44">
        <f>IF(COUNTA(H126:J126)=0, "", IF(COUNTIF(H126:J126, "Đã hoàn thành (Đạt chuẩn)")=3, "ĐỦ 3 TRỤC (100%)", IF(COUNTIF(H126:J126, "Chưa triển khai")=3, "CHƯA GẮN (0%)", "THIẾU / CHƯA ĐẠT (" &amp; COUNTIF(H126:J126, "Đã hoàn thành (Đạt chuẩn)") &amp; "/3)")))</f>
        <v/>
      </c>
      <c r="L126" s="47" t="n"/>
      <c r="M126" s="47" t="n"/>
      <c r="N126" s="47" t="n"/>
      <c r="O126" s="44">
        <f>IF(COUNTA(L126:N126)=0, "", IF(COUNTIF(L126:N126, "Đã có (Đạt chuẩn)")=3, "ĐỦ 3 LEVEL DASHBOARD", IF(COUNTIF(L126:N126, "Chưa có")=3, "CHƯA CÓ DASHBOARD", "THIẾU DASHBOARD (" &amp; COUNTIF(L126:N126, "Đã có (Đạt chuẩn)") &amp; "/3)")))</f>
        <v/>
      </c>
      <c r="P126" s="47" t="n"/>
      <c r="Q126" s="47" t="n"/>
      <c r="R126" s="44">
        <f>IF(C126="", "", IF(P126="Đẩy thẳng Kafka / ES (Vi phạm BLOCKER)", "VI PHẠM (BLOCKER)", IF(AND(K126="ĐỦ 3 TRỤC (100%)", O126="ĐỦ 3 LEVEL DASHBOARD", P126="Qua OTel Collector (Đúng chuẩn)"), "ĐẠT CHUẨN QG2 (PASS)", IF(AND(K126="CHƯA GẮN (0%)", O126="CHƯA CÓ DASHBOARD"), "CHƯA TRIỂN KHAI", "ĐANG HOÀN THIỆN (PENDING)"))))</f>
        <v/>
      </c>
      <c r="S126" s="45" t="n"/>
      <c r="T126" s="45" t="n"/>
      <c r="U126" s="47" t="n"/>
      <c r="V126" s="45" t="n"/>
    </row>
    <row r="127" ht="24" customHeight="1">
      <c r="A127" s="44">
        <f>IF(COUNTA(B127:C127)=0, "", COUNTA($C$6:C127))</f>
        <v/>
      </c>
      <c r="B127" s="24" t="n"/>
      <c r="C127" s="48" t="n"/>
      <c r="D127" s="25" t="n"/>
      <c r="E127" s="25" t="n"/>
      <c r="F127" s="44">
        <f>IF(E127="", "", IF(OR(E127=".NET 8 (SDK v1.5+ hỗ trợ chính thức)", E127=".NET 6 / .NET 7 (SDK v1.5+ hỗ trợ chính thức)"), "Hỗ trợ chuẩn SDK (.NET 6/7/8)", "Ngoài phạm vi SDK (Dùng OTel Native)"))</f>
        <v/>
      </c>
      <c r="G127" s="25" t="n"/>
      <c r="H127" s="25" t="n"/>
      <c r="I127" s="25" t="n"/>
      <c r="J127" s="25" t="n"/>
      <c r="K127" s="44">
        <f>IF(COUNTA(H127:J127)=0, "", IF(COUNTIF(H127:J127, "Đã hoàn thành (Đạt chuẩn)")=3, "ĐỦ 3 TRỤC (100%)", IF(COUNTIF(H127:J127, "Chưa triển khai")=3, "CHƯA GẮN (0%)", "THIẾU / CHƯA ĐẠT (" &amp; COUNTIF(H127:J127, "Đã hoàn thành (Đạt chuẩn)") &amp; "/3)")))</f>
        <v/>
      </c>
      <c r="L127" s="25" t="n"/>
      <c r="M127" s="25" t="n"/>
      <c r="N127" s="25" t="n"/>
      <c r="O127" s="44">
        <f>IF(COUNTA(L127:N127)=0, "", IF(COUNTIF(L127:N127, "Đã có (Đạt chuẩn)")=3, "ĐỦ 3 LEVEL DASHBOARD", IF(COUNTIF(L127:N127, "Chưa có")=3, "CHƯA CÓ DASHBOARD", "THIẾU DASHBOARD (" &amp; COUNTIF(L127:N127, "Đã có (Đạt chuẩn)") &amp; "/3)")))</f>
        <v/>
      </c>
      <c r="P127" s="25" t="n"/>
      <c r="Q127" s="25" t="n"/>
      <c r="R127" s="44">
        <f>IF(C127="", "", IF(P127="Đẩy thẳng Kafka / ES (Vi phạm BLOCKER)", "VI PHẠM (BLOCKER)", IF(AND(K127="ĐỦ 3 TRỤC (100%)", O127="ĐỦ 3 LEVEL DASHBOARD", P127="Qua OTel Collector (Đúng chuẩn)"), "ĐẠT CHUẨN QG2 (PASS)", IF(AND(K127="CHƯA GẮN (0%)", O127="CHƯA CÓ DASHBOARD"), "CHƯA TRIỂN KHAI", "ĐANG HOÀN THIỆN (PENDING)"))))</f>
        <v/>
      </c>
      <c r="S127" s="24" t="n"/>
      <c r="T127" s="24" t="n"/>
      <c r="U127" s="25" t="n"/>
      <c r="V127" s="24" t="n"/>
    </row>
    <row r="128" ht="24" customHeight="1">
      <c r="A128" s="44">
        <f>IF(COUNTA(B128:C128)=0, "", COUNTA($C$6:C128))</f>
        <v/>
      </c>
      <c r="B128" s="45" t="n"/>
      <c r="C128" s="46" t="n"/>
      <c r="D128" s="47" t="n"/>
      <c r="E128" s="47" t="n"/>
      <c r="F128" s="44">
        <f>IF(E128="", "", IF(OR(E128=".NET 8 (SDK v1.5+ hỗ trợ chính thức)", E128=".NET 6 / .NET 7 (SDK v1.5+ hỗ trợ chính thức)"), "Hỗ trợ chuẩn SDK (.NET 6/7/8)", "Ngoài phạm vi SDK (Dùng OTel Native)"))</f>
        <v/>
      </c>
      <c r="G128" s="47" t="n"/>
      <c r="H128" s="47" t="n"/>
      <c r="I128" s="47" t="n"/>
      <c r="J128" s="47" t="n"/>
      <c r="K128" s="44">
        <f>IF(COUNTA(H128:J128)=0, "", IF(COUNTIF(H128:J128, "Đã hoàn thành (Đạt chuẩn)")=3, "ĐỦ 3 TRỤC (100%)", IF(COUNTIF(H128:J128, "Chưa triển khai")=3, "CHƯA GẮN (0%)", "THIẾU / CHƯA ĐẠT (" &amp; COUNTIF(H128:J128, "Đã hoàn thành (Đạt chuẩn)") &amp; "/3)")))</f>
        <v/>
      </c>
      <c r="L128" s="47" t="n"/>
      <c r="M128" s="47" t="n"/>
      <c r="N128" s="47" t="n"/>
      <c r="O128" s="44">
        <f>IF(COUNTA(L128:N128)=0, "", IF(COUNTIF(L128:N128, "Đã có (Đạt chuẩn)")=3, "ĐỦ 3 LEVEL DASHBOARD", IF(COUNTIF(L128:N128, "Chưa có")=3, "CHƯA CÓ DASHBOARD", "THIẾU DASHBOARD (" &amp; COUNTIF(L128:N128, "Đã có (Đạt chuẩn)") &amp; "/3)")))</f>
        <v/>
      </c>
      <c r="P128" s="47" t="n"/>
      <c r="Q128" s="47" t="n"/>
      <c r="R128" s="44">
        <f>IF(C128="", "", IF(P128="Đẩy thẳng Kafka / ES (Vi phạm BLOCKER)", "VI PHẠM (BLOCKER)", IF(AND(K128="ĐỦ 3 TRỤC (100%)", O128="ĐỦ 3 LEVEL DASHBOARD", P128="Qua OTel Collector (Đúng chuẩn)"), "ĐẠT CHUẨN QG2 (PASS)", IF(AND(K128="CHƯA GẮN (0%)", O128="CHƯA CÓ DASHBOARD"), "CHƯA TRIỂN KHAI", "ĐANG HOÀN THIỆN (PENDING)"))))</f>
        <v/>
      </c>
      <c r="S128" s="45" t="n"/>
      <c r="T128" s="45" t="n"/>
      <c r="U128" s="47" t="n"/>
      <c r="V128" s="45" t="n"/>
    </row>
    <row r="129" ht="24" customHeight="1">
      <c r="A129" s="44">
        <f>IF(COUNTA(B129:C129)=0, "", COUNTA($C$6:C129))</f>
        <v/>
      </c>
      <c r="B129" s="24" t="n"/>
      <c r="C129" s="48" t="n"/>
      <c r="D129" s="25" t="n"/>
      <c r="E129" s="25" t="n"/>
      <c r="F129" s="44">
        <f>IF(E129="", "", IF(OR(E129=".NET 8 (SDK v1.5+ hỗ trợ chính thức)", E129=".NET 6 / .NET 7 (SDK v1.5+ hỗ trợ chính thức)"), "Hỗ trợ chuẩn SDK (.NET 6/7/8)", "Ngoài phạm vi SDK (Dùng OTel Native)"))</f>
        <v/>
      </c>
      <c r="G129" s="25" t="n"/>
      <c r="H129" s="25" t="n"/>
      <c r="I129" s="25" t="n"/>
      <c r="J129" s="25" t="n"/>
      <c r="K129" s="44">
        <f>IF(COUNTA(H129:J129)=0, "", IF(COUNTIF(H129:J129, "Đã hoàn thành (Đạt chuẩn)")=3, "ĐỦ 3 TRỤC (100%)", IF(COUNTIF(H129:J129, "Chưa triển khai")=3, "CHƯA GẮN (0%)", "THIẾU / CHƯA ĐẠT (" &amp; COUNTIF(H129:J129, "Đã hoàn thành (Đạt chuẩn)") &amp; "/3)")))</f>
        <v/>
      </c>
      <c r="L129" s="25" t="n"/>
      <c r="M129" s="25" t="n"/>
      <c r="N129" s="25" t="n"/>
      <c r="O129" s="44">
        <f>IF(COUNTA(L129:N129)=0, "", IF(COUNTIF(L129:N129, "Đã có (Đạt chuẩn)")=3, "ĐỦ 3 LEVEL DASHBOARD", IF(COUNTIF(L129:N129, "Chưa có")=3, "CHƯA CÓ DASHBOARD", "THIẾU DASHBOARD (" &amp; COUNTIF(L129:N129, "Đã có (Đạt chuẩn)") &amp; "/3)")))</f>
        <v/>
      </c>
      <c r="P129" s="25" t="n"/>
      <c r="Q129" s="25" t="n"/>
      <c r="R129" s="44">
        <f>IF(C129="", "", IF(P129="Đẩy thẳng Kafka / ES (Vi phạm BLOCKER)", "VI PHẠM (BLOCKER)", IF(AND(K129="ĐỦ 3 TRỤC (100%)", O129="ĐỦ 3 LEVEL DASHBOARD", P129="Qua OTel Collector (Đúng chuẩn)"), "ĐẠT CHUẨN QG2 (PASS)", IF(AND(K129="CHƯA GẮN (0%)", O129="CHƯA CÓ DASHBOARD"), "CHƯA TRIỂN KHAI", "ĐANG HOÀN THIỆN (PENDING)"))))</f>
        <v/>
      </c>
      <c r="S129" s="24" t="n"/>
      <c r="T129" s="24" t="n"/>
      <c r="U129" s="25" t="n"/>
      <c r="V129" s="24" t="n"/>
    </row>
    <row r="130" ht="24" customHeight="1">
      <c r="A130" s="44">
        <f>IF(COUNTA(B130:C130)=0, "", COUNTA($C$6:C130))</f>
        <v/>
      </c>
      <c r="B130" s="45" t="n"/>
      <c r="C130" s="46" t="n"/>
      <c r="D130" s="47" t="n"/>
      <c r="E130" s="47" t="n"/>
      <c r="F130" s="44">
        <f>IF(E130="", "", IF(OR(E130=".NET 8 (SDK v1.5+ hỗ trợ chính thức)", E130=".NET 6 / .NET 7 (SDK v1.5+ hỗ trợ chính thức)"), "Hỗ trợ chuẩn SDK (.NET 6/7/8)", "Ngoài phạm vi SDK (Dùng OTel Native)"))</f>
        <v/>
      </c>
      <c r="G130" s="47" t="n"/>
      <c r="H130" s="47" t="n"/>
      <c r="I130" s="47" t="n"/>
      <c r="J130" s="47" t="n"/>
      <c r="K130" s="44">
        <f>IF(COUNTA(H130:J130)=0, "", IF(COUNTIF(H130:J130, "Đã hoàn thành (Đạt chuẩn)")=3, "ĐỦ 3 TRỤC (100%)", IF(COUNTIF(H130:J130, "Chưa triển khai")=3, "CHƯA GẮN (0%)", "THIẾU / CHƯA ĐẠT (" &amp; COUNTIF(H130:J130, "Đã hoàn thành (Đạt chuẩn)") &amp; "/3)")))</f>
        <v/>
      </c>
      <c r="L130" s="47" t="n"/>
      <c r="M130" s="47" t="n"/>
      <c r="N130" s="47" t="n"/>
      <c r="O130" s="44">
        <f>IF(COUNTA(L130:N130)=0, "", IF(COUNTIF(L130:N130, "Đã có (Đạt chuẩn)")=3, "ĐỦ 3 LEVEL DASHBOARD", IF(COUNTIF(L130:N130, "Chưa có")=3, "CHƯA CÓ DASHBOARD", "THIẾU DASHBOARD (" &amp; COUNTIF(L130:N130, "Đã có (Đạt chuẩn)") &amp; "/3)")))</f>
        <v/>
      </c>
      <c r="P130" s="47" t="n"/>
      <c r="Q130" s="47" t="n"/>
      <c r="R130" s="44">
        <f>IF(C130="", "", IF(P130="Đẩy thẳng Kafka / ES (Vi phạm BLOCKER)", "VI PHẠM (BLOCKER)", IF(AND(K130="ĐỦ 3 TRỤC (100%)", O130="ĐỦ 3 LEVEL DASHBOARD", P130="Qua OTel Collector (Đúng chuẩn)"), "ĐẠT CHUẨN QG2 (PASS)", IF(AND(K130="CHƯA GẮN (0%)", O130="CHƯA CÓ DASHBOARD"), "CHƯA TRIỂN KHAI", "ĐANG HOÀN THIỆN (PENDING)"))))</f>
        <v/>
      </c>
      <c r="S130" s="45" t="n"/>
      <c r="T130" s="45" t="n"/>
      <c r="U130" s="47" t="n"/>
      <c r="V130" s="45" t="n"/>
    </row>
    <row r="131" ht="24" customHeight="1">
      <c r="A131" s="44">
        <f>IF(COUNTA(B131:C131)=0, "", COUNTA($C$6:C131))</f>
        <v/>
      </c>
      <c r="B131" s="24" t="n"/>
      <c r="C131" s="48" t="n"/>
      <c r="D131" s="25" t="n"/>
      <c r="E131" s="25" t="n"/>
      <c r="F131" s="44">
        <f>IF(E131="", "", IF(OR(E131=".NET 8 (SDK v1.5+ hỗ trợ chính thức)", E131=".NET 6 / .NET 7 (SDK v1.5+ hỗ trợ chính thức)"), "Hỗ trợ chuẩn SDK (.NET 6/7/8)", "Ngoài phạm vi SDK (Dùng OTel Native)"))</f>
        <v/>
      </c>
      <c r="G131" s="25" t="n"/>
      <c r="H131" s="25" t="n"/>
      <c r="I131" s="25" t="n"/>
      <c r="J131" s="25" t="n"/>
      <c r="K131" s="44">
        <f>IF(COUNTA(H131:J131)=0, "", IF(COUNTIF(H131:J131, "Đã hoàn thành (Đạt chuẩn)")=3, "ĐỦ 3 TRỤC (100%)", IF(COUNTIF(H131:J131, "Chưa triển khai")=3, "CHƯA GẮN (0%)", "THIẾU / CHƯA ĐẠT (" &amp; COUNTIF(H131:J131, "Đã hoàn thành (Đạt chuẩn)") &amp; "/3)")))</f>
        <v/>
      </c>
      <c r="L131" s="25" t="n"/>
      <c r="M131" s="25" t="n"/>
      <c r="N131" s="25" t="n"/>
      <c r="O131" s="44">
        <f>IF(COUNTA(L131:N131)=0, "", IF(COUNTIF(L131:N131, "Đã có (Đạt chuẩn)")=3, "ĐỦ 3 LEVEL DASHBOARD", IF(COUNTIF(L131:N131, "Chưa có")=3, "CHƯA CÓ DASHBOARD", "THIẾU DASHBOARD (" &amp; COUNTIF(L131:N131, "Đã có (Đạt chuẩn)") &amp; "/3)")))</f>
        <v/>
      </c>
      <c r="P131" s="25" t="n"/>
      <c r="Q131" s="25" t="n"/>
      <c r="R131" s="44">
        <f>IF(C131="", "", IF(P131="Đẩy thẳng Kafka / ES (Vi phạm BLOCKER)", "VI PHẠM (BLOCKER)", IF(AND(K131="ĐỦ 3 TRỤC (100%)", O131="ĐỦ 3 LEVEL DASHBOARD", P131="Qua OTel Collector (Đúng chuẩn)"), "ĐẠT CHUẨN QG2 (PASS)", IF(AND(K131="CHƯA GẮN (0%)", O131="CHƯA CÓ DASHBOARD"), "CHƯA TRIỂN KHAI", "ĐANG HOÀN THIỆN (PENDING)"))))</f>
        <v/>
      </c>
      <c r="S131" s="24" t="n"/>
      <c r="T131" s="24" t="n"/>
      <c r="U131" s="25" t="n"/>
      <c r="V131" s="24" t="n"/>
    </row>
    <row r="132" ht="24" customHeight="1">
      <c r="A132" s="44">
        <f>IF(COUNTA(B132:C132)=0, "", COUNTA($C$6:C132))</f>
        <v/>
      </c>
      <c r="B132" s="45" t="n"/>
      <c r="C132" s="46" t="n"/>
      <c r="D132" s="47" t="n"/>
      <c r="E132" s="47" t="n"/>
      <c r="F132" s="44">
        <f>IF(E132="", "", IF(OR(E132=".NET 8 (SDK v1.5+ hỗ trợ chính thức)", E132=".NET 6 / .NET 7 (SDK v1.5+ hỗ trợ chính thức)"), "Hỗ trợ chuẩn SDK (.NET 6/7/8)", "Ngoài phạm vi SDK (Dùng OTel Native)"))</f>
        <v/>
      </c>
      <c r="G132" s="47" t="n"/>
      <c r="H132" s="47" t="n"/>
      <c r="I132" s="47" t="n"/>
      <c r="J132" s="47" t="n"/>
      <c r="K132" s="44">
        <f>IF(COUNTA(H132:J132)=0, "", IF(COUNTIF(H132:J132, "Đã hoàn thành (Đạt chuẩn)")=3, "ĐỦ 3 TRỤC (100%)", IF(COUNTIF(H132:J132, "Chưa triển khai")=3, "CHƯA GẮN (0%)", "THIẾU / CHƯA ĐẠT (" &amp; COUNTIF(H132:J132, "Đã hoàn thành (Đạt chuẩn)") &amp; "/3)")))</f>
        <v/>
      </c>
      <c r="L132" s="47" t="n"/>
      <c r="M132" s="47" t="n"/>
      <c r="N132" s="47" t="n"/>
      <c r="O132" s="44">
        <f>IF(COUNTA(L132:N132)=0, "", IF(COUNTIF(L132:N132, "Đã có (Đạt chuẩn)")=3, "ĐỦ 3 LEVEL DASHBOARD", IF(COUNTIF(L132:N132, "Chưa có")=3, "CHƯA CÓ DASHBOARD", "THIẾU DASHBOARD (" &amp; COUNTIF(L132:N132, "Đã có (Đạt chuẩn)") &amp; "/3)")))</f>
        <v/>
      </c>
      <c r="P132" s="47" t="n"/>
      <c r="Q132" s="47" t="n"/>
      <c r="R132" s="44">
        <f>IF(C132="", "", IF(P132="Đẩy thẳng Kafka / ES (Vi phạm BLOCKER)", "VI PHẠM (BLOCKER)", IF(AND(K132="ĐỦ 3 TRỤC (100%)", O132="ĐỦ 3 LEVEL DASHBOARD", P132="Qua OTel Collector (Đúng chuẩn)"), "ĐẠT CHUẨN QG2 (PASS)", IF(AND(K132="CHƯA GẮN (0%)", O132="CHƯA CÓ DASHBOARD"), "CHƯA TRIỂN KHAI", "ĐANG HOÀN THIỆN (PENDING)"))))</f>
        <v/>
      </c>
      <c r="S132" s="45" t="n"/>
      <c r="T132" s="45" t="n"/>
      <c r="U132" s="47" t="n"/>
      <c r="V132" s="45" t="n"/>
    </row>
    <row r="133" ht="24" customHeight="1">
      <c r="A133" s="44">
        <f>IF(COUNTA(B133:C133)=0, "", COUNTA($C$6:C133))</f>
        <v/>
      </c>
      <c r="B133" s="24" t="n"/>
      <c r="C133" s="48" t="n"/>
      <c r="D133" s="25" t="n"/>
      <c r="E133" s="25" t="n"/>
      <c r="F133" s="44">
        <f>IF(E133="", "", IF(OR(E133=".NET 8 (SDK v1.5+ hỗ trợ chính thức)", E133=".NET 6 / .NET 7 (SDK v1.5+ hỗ trợ chính thức)"), "Hỗ trợ chuẩn SDK (.NET 6/7/8)", "Ngoài phạm vi SDK (Dùng OTel Native)"))</f>
        <v/>
      </c>
      <c r="G133" s="25" t="n"/>
      <c r="H133" s="25" t="n"/>
      <c r="I133" s="25" t="n"/>
      <c r="J133" s="25" t="n"/>
      <c r="K133" s="44">
        <f>IF(COUNTA(H133:J133)=0, "", IF(COUNTIF(H133:J133, "Đã hoàn thành (Đạt chuẩn)")=3, "ĐỦ 3 TRỤC (100%)", IF(COUNTIF(H133:J133, "Chưa triển khai")=3, "CHƯA GẮN (0%)", "THIẾU / CHƯA ĐẠT (" &amp; COUNTIF(H133:J133, "Đã hoàn thành (Đạt chuẩn)") &amp; "/3)")))</f>
        <v/>
      </c>
      <c r="L133" s="25" t="n"/>
      <c r="M133" s="25" t="n"/>
      <c r="N133" s="25" t="n"/>
      <c r="O133" s="44">
        <f>IF(COUNTA(L133:N133)=0, "", IF(COUNTIF(L133:N133, "Đã có (Đạt chuẩn)")=3, "ĐỦ 3 LEVEL DASHBOARD", IF(COUNTIF(L133:N133, "Chưa có")=3, "CHƯA CÓ DASHBOARD", "THIẾU DASHBOARD (" &amp; COUNTIF(L133:N133, "Đã có (Đạt chuẩn)") &amp; "/3)")))</f>
        <v/>
      </c>
      <c r="P133" s="25" t="n"/>
      <c r="Q133" s="25" t="n"/>
      <c r="R133" s="44">
        <f>IF(C133="", "", IF(P133="Đẩy thẳng Kafka / ES (Vi phạm BLOCKER)", "VI PHẠM (BLOCKER)", IF(AND(K133="ĐỦ 3 TRỤC (100%)", O133="ĐỦ 3 LEVEL DASHBOARD", P133="Qua OTel Collector (Đúng chuẩn)"), "ĐẠT CHUẨN QG2 (PASS)", IF(AND(K133="CHƯA GẮN (0%)", O133="CHƯA CÓ DASHBOARD"), "CHƯA TRIỂN KHAI", "ĐANG HOÀN THIỆN (PENDING)"))))</f>
        <v/>
      </c>
      <c r="S133" s="24" t="n"/>
      <c r="T133" s="24" t="n"/>
      <c r="U133" s="25" t="n"/>
      <c r="V133" s="24" t="n"/>
    </row>
    <row r="134" ht="24" customHeight="1">
      <c r="A134" s="44">
        <f>IF(COUNTA(B134:C134)=0, "", COUNTA($C$6:C134))</f>
        <v/>
      </c>
      <c r="B134" s="45" t="n"/>
      <c r="C134" s="46" t="n"/>
      <c r="D134" s="47" t="n"/>
      <c r="E134" s="47" t="n"/>
      <c r="F134" s="44">
        <f>IF(E134="", "", IF(OR(E134=".NET 8 (SDK v1.5+ hỗ trợ chính thức)", E134=".NET 6 / .NET 7 (SDK v1.5+ hỗ trợ chính thức)"), "Hỗ trợ chuẩn SDK (.NET 6/7/8)", "Ngoài phạm vi SDK (Dùng OTel Native)"))</f>
        <v/>
      </c>
      <c r="G134" s="47" t="n"/>
      <c r="H134" s="47" t="n"/>
      <c r="I134" s="47" t="n"/>
      <c r="J134" s="47" t="n"/>
      <c r="K134" s="44">
        <f>IF(COUNTA(H134:J134)=0, "", IF(COUNTIF(H134:J134, "Đã hoàn thành (Đạt chuẩn)")=3, "ĐỦ 3 TRỤC (100%)", IF(COUNTIF(H134:J134, "Chưa triển khai")=3, "CHƯA GẮN (0%)", "THIẾU / CHƯA ĐẠT (" &amp; COUNTIF(H134:J134, "Đã hoàn thành (Đạt chuẩn)") &amp; "/3)")))</f>
        <v/>
      </c>
      <c r="L134" s="47" t="n"/>
      <c r="M134" s="47" t="n"/>
      <c r="N134" s="47" t="n"/>
      <c r="O134" s="44">
        <f>IF(COUNTA(L134:N134)=0, "", IF(COUNTIF(L134:N134, "Đã có (Đạt chuẩn)")=3, "ĐỦ 3 LEVEL DASHBOARD", IF(COUNTIF(L134:N134, "Chưa có")=3, "CHƯA CÓ DASHBOARD", "THIẾU DASHBOARD (" &amp; COUNTIF(L134:N134, "Đã có (Đạt chuẩn)") &amp; "/3)")))</f>
        <v/>
      </c>
      <c r="P134" s="47" t="n"/>
      <c r="Q134" s="47" t="n"/>
      <c r="R134" s="44">
        <f>IF(C134="", "", IF(P134="Đẩy thẳng Kafka / ES (Vi phạm BLOCKER)", "VI PHẠM (BLOCKER)", IF(AND(K134="ĐỦ 3 TRỤC (100%)", O134="ĐỦ 3 LEVEL DASHBOARD", P134="Qua OTel Collector (Đúng chuẩn)"), "ĐẠT CHUẨN QG2 (PASS)", IF(AND(K134="CHƯA GẮN (0%)", O134="CHƯA CÓ DASHBOARD"), "CHƯA TRIỂN KHAI", "ĐANG HOÀN THIỆN (PENDING)"))))</f>
        <v/>
      </c>
      <c r="S134" s="45" t="n"/>
      <c r="T134" s="45" t="n"/>
      <c r="U134" s="47" t="n"/>
      <c r="V134" s="45" t="n"/>
    </row>
    <row r="135" ht="24" customHeight="1">
      <c r="A135" s="44">
        <f>IF(COUNTA(B135:C135)=0, "", COUNTA($C$6:C135))</f>
        <v/>
      </c>
      <c r="B135" s="24" t="n"/>
      <c r="C135" s="48" t="n"/>
      <c r="D135" s="25" t="n"/>
      <c r="E135" s="25" t="n"/>
      <c r="F135" s="44">
        <f>IF(E135="", "", IF(OR(E135=".NET 8 (SDK v1.5+ hỗ trợ chính thức)", E135=".NET 6 / .NET 7 (SDK v1.5+ hỗ trợ chính thức)"), "Hỗ trợ chuẩn SDK (.NET 6/7/8)", "Ngoài phạm vi SDK (Dùng OTel Native)"))</f>
        <v/>
      </c>
      <c r="G135" s="25" t="n"/>
      <c r="H135" s="25" t="n"/>
      <c r="I135" s="25" t="n"/>
      <c r="J135" s="25" t="n"/>
      <c r="K135" s="44">
        <f>IF(COUNTA(H135:J135)=0, "", IF(COUNTIF(H135:J135, "Đã hoàn thành (Đạt chuẩn)")=3, "ĐỦ 3 TRỤC (100%)", IF(COUNTIF(H135:J135, "Chưa triển khai")=3, "CHƯA GẮN (0%)", "THIẾU / CHƯA ĐẠT (" &amp; COUNTIF(H135:J135, "Đã hoàn thành (Đạt chuẩn)") &amp; "/3)")))</f>
        <v/>
      </c>
      <c r="L135" s="25" t="n"/>
      <c r="M135" s="25" t="n"/>
      <c r="N135" s="25" t="n"/>
      <c r="O135" s="44">
        <f>IF(COUNTA(L135:N135)=0, "", IF(COUNTIF(L135:N135, "Đã có (Đạt chuẩn)")=3, "ĐỦ 3 LEVEL DASHBOARD", IF(COUNTIF(L135:N135, "Chưa có")=3, "CHƯA CÓ DASHBOARD", "THIẾU DASHBOARD (" &amp; COUNTIF(L135:N135, "Đã có (Đạt chuẩn)") &amp; "/3)")))</f>
        <v/>
      </c>
      <c r="P135" s="25" t="n"/>
      <c r="Q135" s="25" t="n"/>
      <c r="R135" s="44">
        <f>IF(C135="", "", IF(P135="Đẩy thẳng Kafka / ES (Vi phạm BLOCKER)", "VI PHẠM (BLOCKER)", IF(AND(K135="ĐỦ 3 TRỤC (100%)", O135="ĐỦ 3 LEVEL DASHBOARD", P135="Qua OTel Collector (Đúng chuẩn)"), "ĐẠT CHUẨN QG2 (PASS)", IF(AND(K135="CHƯA GẮN (0%)", O135="CHƯA CÓ DASHBOARD"), "CHƯA TRIỂN KHAI", "ĐANG HOÀN THIỆN (PENDING)"))))</f>
        <v/>
      </c>
      <c r="S135" s="24" t="n"/>
      <c r="T135" s="24" t="n"/>
      <c r="U135" s="25" t="n"/>
      <c r="V135" s="24" t="n"/>
    </row>
    <row r="136" ht="24" customHeight="1">
      <c r="A136" s="44">
        <f>IF(COUNTA(B136:C136)=0, "", COUNTA($C$6:C136))</f>
        <v/>
      </c>
      <c r="B136" s="45" t="n"/>
      <c r="C136" s="46" t="n"/>
      <c r="D136" s="47" t="n"/>
      <c r="E136" s="47" t="n"/>
      <c r="F136" s="44">
        <f>IF(E136="", "", IF(OR(E136=".NET 8 (SDK v1.5+ hỗ trợ chính thức)", E136=".NET 6 / .NET 7 (SDK v1.5+ hỗ trợ chính thức)"), "Hỗ trợ chuẩn SDK (.NET 6/7/8)", "Ngoài phạm vi SDK (Dùng OTel Native)"))</f>
        <v/>
      </c>
      <c r="G136" s="47" t="n"/>
      <c r="H136" s="47" t="n"/>
      <c r="I136" s="47" t="n"/>
      <c r="J136" s="47" t="n"/>
      <c r="K136" s="44">
        <f>IF(COUNTA(H136:J136)=0, "", IF(COUNTIF(H136:J136, "Đã hoàn thành (Đạt chuẩn)")=3, "ĐỦ 3 TRỤC (100%)", IF(COUNTIF(H136:J136, "Chưa triển khai")=3, "CHƯA GẮN (0%)", "THIẾU / CHƯA ĐẠT (" &amp; COUNTIF(H136:J136, "Đã hoàn thành (Đạt chuẩn)") &amp; "/3)")))</f>
        <v/>
      </c>
      <c r="L136" s="47" t="n"/>
      <c r="M136" s="47" t="n"/>
      <c r="N136" s="47" t="n"/>
      <c r="O136" s="44">
        <f>IF(COUNTA(L136:N136)=0, "", IF(COUNTIF(L136:N136, "Đã có (Đạt chuẩn)")=3, "ĐỦ 3 LEVEL DASHBOARD", IF(COUNTIF(L136:N136, "Chưa có")=3, "CHƯA CÓ DASHBOARD", "THIẾU DASHBOARD (" &amp; COUNTIF(L136:N136, "Đã có (Đạt chuẩn)") &amp; "/3)")))</f>
        <v/>
      </c>
      <c r="P136" s="47" t="n"/>
      <c r="Q136" s="47" t="n"/>
      <c r="R136" s="44">
        <f>IF(C136="", "", IF(P136="Đẩy thẳng Kafka / ES (Vi phạm BLOCKER)", "VI PHẠM (BLOCKER)", IF(AND(K136="ĐỦ 3 TRỤC (100%)", O136="ĐỦ 3 LEVEL DASHBOARD", P136="Qua OTel Collector (Đúng chuẩn)"), "ĐẠT CHUẨN QG2 (PASS)", IF(AND(K136="CHƯA GẮN (0%)", O136="CHƯA CÓ DASHBOARD"), "CHƯA TRIỂN KHAI", "ĐANG HOÀN THIỆN (PENDING)"))))</f>
        <v/>
      </c>
      <c r="S136" s="45" t="n"/>
      <c r="T136" s="45" t="n"/>
      <c r="U136" s="47" t="n"/>
      <c r="V136" s="45" t="n"/>
    </row>
    <row r="137" ht="24" customHeight="1">
      <c r="A137" s="44">
        <f>IF(COUNTA(B137:C137)=0, "", COUNTA($C$6:C137))</f>
        <v/>
      </c>
      <c r="B137" s="24" t="n"/>
      <c r="C137" s="48" t="n"/>
      <c r="D137" s="25" t="n"/>
      <c r="E137" s="25" t="n"/>
      <c r="F137" s="44">
        <f>IF(E137="", "", IF(OR(E137=".NET 8 (SDK v1.5+ hỗ trợ chính thức)", E137=".NET 6 / .NET 7 (SDK v1.5+ hỗ trợ chính thức)"), "Hỗ trợ chuẩn SDK (.NET 6/7/8)", "Ngoài phạm vi SDK (Dùng OTel Native)"))</f>
        <v/>
      </c>
      <c r="G137" s="25" t="n"/>
      <c r="H137" s="25" t="n"/>
      <c r="I137" s="25" t="n"/>
      <c r="J137" s="25" t="n"/>
      <c r="K137" s="44">
        <f>IF(COUNTA(H137:J137)=0, "", IF(COUNTIF(H137:J137, "Đã hoàn thành (Đạt chuẩn)")=3, "ĐỦ 3 TRỤC (100%)", IF(COUNTIF(H137:J137, "Chưa triển khai")=3, "CHƯA GẮN (0%)", "THIẾU / CHƯA ĐẠT (" &amp; COUNTIF(H137:J137, "Đã hoàn thành (Đạt chuẩn)") &amp; "/3)")))</f>
        <v/>
      </c>
      <c r="L137" s="25" t="n"/>
      <c r="M137" s="25" t="n"/>
      <c r="N137" s="25" t="n"/>
      <c r="O137" s="44">
        <f>IF(COUNTA(L137:N137)=0, "", IF(COUNTIF(L137:N137, "Đã có (Đạt chuẩn)")=3, "ĐỦ 3 LEVEL DASHBOARD", IF(COUNTIF(L137:N137, "Chưa có")=3, "CHƯA CÓ DASHBOARD", "THIẾU DASHBOARD (" &amp; COUNTIF(L137:N137, "Đã có (Đạt chuẩn)") &amp; "/3)")))</f>
        <v/>
      </c>
      <c r="P137" s="25" t="n"/>
      <c r="Q137" s="25" t="n"/>
      <c r="R137" s="44">
        <f>IF(C137="", "", IF(P137="Đẩy thẳng Kafka / ES (Vi phạm BLOCKER)", "VI PHẠM (BLOCKER)", IF(AND(K137="ĐỦ 3 TRỤC (100%)", O137="ĐỦ 3 LEVEL DASHBOARD", P137="Qua OTel Collector (Đúng chuẩn)"), "ĐẠT CHUẨN QG2 (PASS)", IF(AND(K137="CHƯA GẮN (0%)", O137="CHƯA CÓ DASHBOARD"), "CHƯA TRIỂN KHAI", "ĐANG HOÀN THIỆN (PENDING)"))))</f>
        <v/>
      </c>
      <c r="S137" s="24" t="n"/>
      <c r="T137" s="24" t="n"/>
      <c r="U137" s="25" t="n"/>
      <c r="V137" s="24" t="n"/>
    </row>
    <row r="138" ht="24" customHeight="1">
      <c r="A138" s="44">
        <f>IF(COUNTA(B138:C138)=0, "", COUNTA($C$6:C138))</f>
        <v/>
      </c>
      <c r="B138" s="45" t="n"/>
      <c r="C138" s="46" t="n"/>
      <c r="D138" s="47" t="n"/>
      <c r="E138" s="47" t="n"/>
      <c r="F138" s="44">
        <f>IF(E138="", "", IF(OR(E138=".NET 8 (SDK v1.5+ hỗ trợ chính thức)", E138=".NET 6 / .NET 7 (SDK v1.5+ hỗ trợ chính thức)"), "Hỗ trợ chuẩn SDK (.NET 6/7/8)", "Ngoài phạm vi SDK (Dùng OTel Native)"))</f>
        <v/>
      </c>
      <c r="G138" s="47" t="n"/>
      <c r="H138" s="47" t="n"/>
      <c r="I138" s="47" t="n"/>
      <c r="J138" s="47" t="n"/>
      <c r="K138" s="44">
        <f>IF(COUNTA(H138:J138)=0, "", IF(COUNTIF(H138:J138, "Đã hoàn thành (Đạt chuẩn)")=3, "ĐỦ 3 TRỤC (100%)", IF(COUNTIF(H138:J138, "Chưa triển khai")=3, "CHƯA GẮN (0%)", "THIẾU / CHƯA ĐẠT (" &amp; COUNTIF(H138:J138, "Đã hoàn thành (Đạt chuẩn)") &amp; "/3)")))</f>
        <v/>
      </c>
      <c r="L138" s="47" t="n"/>
      <c r="M138" s="47" t="n"/>
      <c r="N138" s="47" t="n"/>
      <c r="O138" s="44">
        <f>IF(COUNTA(L138:N138)=0, "", IF(COUNTIF(L138:N138, "Đã có (Đạt chuẩn)")=3, "ĐỦ 3 LEVEL DASHBOARD", IF(COUNTIF(L138:N138, "Chưa có")=3, "CHƯA CÓ DASHBOARD", "THIẾU DASHBOARD (" &amp; COUNTIF(L138:N138, "Đã có (Đạt chuẩn)") &amp; "/3)")))</f>
        <v/>
      </c>
      <c r="P138" s="47" t="n"/>
      <c r="Q138" s="47" t="n"/>
      <c r="R138" s="44">
        <f>IF(C138="", "", IF(P138="Đẩy thẳng Kafka / ES (Vi phạm BLOCKER)", "VI PHẠM (BLOCKER)", IF(AND(K138="ĐỦ 3 TRỤC (100%)", O138="ĐỦ 3 LEVEL DASHBOARD", P138="Qua OTel Collector (Đúng chuẩn)"), "ĐẠT CHUẨN QG2 (PASS)", IF(AND(K138="CHƯA GẮN (0%)", O138="CHƯA CÓ DASHBOARD"), "CHƯA TRIỂN KHAI", "ĐANG HOÀN THIỆN (PENDING)"))))</f>
        <v/>
      </c>
      <c r="S138" s="45" t="n"/>
      <c r="T138" s="45" t="n"/>
      <c r="U138" s="47" t="n"/>
      <c r="V138" s="45" t="n"/>
    </row>
    <row r="139" ht="24" customHeight="1">
      <c r="A139" s="44">
        <f>IF(COUNTA(B139:C139)=0, "", COUNTA($C$6:C139))</f>
        <v/>
      </c>
      <c r="B139" s="24" t="n"/>
      <c r="C139" s="48" t="n"/>
      <c r="D139" s="25" t="n"/>
      <c r="E139" s="25" t="n"/>
      <c r="F139" s="44">
        <f>IF(E139="", "", IF(OR(E139=".NET 8 (SDK v1.5+ hỗ trợ chính thức)", E139=".NET 6 / .NET 7 (SDK v1.5+ hỗ trợ chính thức)"), "Hỗ trợ chuẩn SDK (.NET 6/7/8)", "Ngoài phạm vi SDK (Dùng OTel Native)"))</f>
        <v/>
      </c>
      <c r="G139" s="25" t="n"/>
      <c r="H139" s="25" t="n"/>
      <c r="I139" s="25" t="n"/>
      <c r="J139" s="25" t="n"/>
      <c r="K139" s="44">
        <f>IF(COUNTA(H139:J139)=0, "", IF(COUNTIF(H139:J139, "Đã hoàn thành (Đạt chuẩn)")=3, "ĐỦ 3 TRỤC (100%)", IF(COUNTIF(H139:J139, "Chưa triển khai")=3, "CHƯA GẮN (0%)", "THIẾU / CHƯA ĐẠT (" &amp; COUNTIF(H139:J139, "Đã hoàn thành (Đạt chuẩn)") &amp; "/3)")))</f>
        <v/>
      </c>
      <c r="L139" s="25" t="n"/>
      <c r="M139" s="25" t="n"/>
      <c r="N139" s="25" t="n"/>
      <c r="O139" s="44">
        <f>IF(COUNTA(L139:N139)=0, "", IF(COUNTIF(L139:N139, "Đã có (Đạt chuẩn)")=3, "ĐỦ 3 LEVEL DASHBOARD", IF(COUNTIF(L139:N139, "Chưa có")=3, "CHƯA CÓ DASHBOARD", "THIẾU DASHBOARD (" &amp; COUNTIF(L139:N139, "Đã có (Đạt chuẩn)") &amp; "/3)")))</f>
        <v/>
      </c>
      <c r="P139" s="25" t="n"/>
      <c r="Q139" s="25" t="n"/>
      <c r="R139" s="44">
        <f>IF(C139="", "", IF(P139="Đẩy thẳng Kafka / ES (Vi phạm BLOCKER)", "VI PHẠM (BLOCKER)", IF(AND(K139="ĐỦ 3 TRỤC (100%)", O139="ĐỦ 3 LEVEL DASHBOARD", P139="Qua OTel Collector (Đúng chuẩn)"), "ĐẠT CHUẨN QG2 (PASS)", IF(AND(K139="CHƯA GẮN (0%)", O139="CHƯA CÓ DASHBOARD"), "CHƯA TRIỂN KHAI", "ĐANG HOÀN THIỆN (PENDING)"))))</f>
        <v/>
      </c>
      <c r="S139" s="24" t="n"/>
      <c r="T139" s="24" t="n"/>
      <c r="U139" s="25" t="n"/>
      <c r="V139" s="24" t="n"/>
    </row>
    <row r="140" ht="24" customHeight="1">
      <c r="A140" s="44">
        <f>IF(COUNTA(B140:C140)=0, "", COUNTA($C$6:C140))</f>
        <v/>
      </c>
      <c r="B140" s="45" t="n"/>
      <c r="C140" s="46" t="n"/>
      <c r="D140" s="47" t="n"/>
      <c r="E140" s="47" t="n"/>
      <c r="F140" s="44">
        <f>IF(E140="", "", IF(OR(E140=".NET 8 (SDK v1.5+ hỗ trợ chính thức)", E140=".NET 6 / .NET 7 (SDK v1.5+ hỗ trợ chính thức)"), "Hỗ trợ chuẩn SDK (.NET 6/7/8)", "Ngoài phạm vi SDK (Dùng OTel Native)"))</f>
        <v/>
      </c>
      <c r="G140" s="47" t="n"/>
      <c r="H140" s="47" t="n"/>
      <c r="I140" s="47" t="n"/>
      <c r="J140" s="47" t="n"/>
      <c r="K140" s="44">
        <f>IF(COUNTA(H140:J140)=0, "", IF(COUNTIF(H140:J140, "Đã hoàn thành (Đạt chuẩn)")=3, "ĐỦ 3 TRỤC (100%)", IF(COUNTIF(H140:J140, "Chưa triển khai")=3, "CHƯA GẮN (0%)", "THIẾU / CHƯA ĐẠT (" &amp; COUNTIF(H140:J140, "Đã hoàn thành (Đạt chuẩn)") &amp; "/3)")))</f>
        <v/>
      </c>
      <c r="L140" s="47" t="n"/>
      <c r="M140" s="47" t="n"/>
      <c r="N140" s="47" t="n"/>
      <c r="O140" s="44">
        <f>IF(COUNTA(L140:N140)=0, "", IF(COUNTIF(L140:N140, "Đã có (Đạt chuẩn)")=3, "ĐỦ 3 LEVEL DASHBOARD", IF(COUNTIF(L140:N140, "Chưa có")=3, "CHƯA CÓ DASHBOARD", "THIẾU DASHBOARD (" &amp; COUNTIF(L140:N140, "Đã có (Đạt chuẩn)") &amp; "/3)")))</f>
        <v/>
      </c>
      <c r="P140" s="47" t="n"/>
      <c r="Q140" s="47" t="n"/>
      <c r="R140" s="44">
        <f>IF(C140="", "", IF(P140="Đẩy thẳng Kafka / ES (Vi phạm BLOCKER)", "VI PHẠM (BLOCKER)", IF(AND(K140="ĐỦ 3 TRỤC (100%)", O140="ĐỦ 3 LEVEL DASHBOARD", P140="Qua OTel Collector (Đúng chuẩn)"), "ĐẠT CHUẨN QG2 (PASS)", IF(AND(K140="CHƯA GẮN (0%)", O140="CHƯA CÓ DASHBOARD"), "CHƯA TRIỂN KHAI", "ĐANG HOÀN THIỆN (PENDING)"))))</f>
        <v/>
      </c>
      <c r="S140" s="45" t="n"/>
      <c r="T140" s="45" t="n"/>
      <c r="U140" s="47" t="n"/>
      <c r="V140" s="45" t="n"/>
    </row>
    <row r="141" ht="24" customHeight="1">
      <c r="A141" s="44">
        <f>IF(COUNTA(B141:C141)=0, "", COUNTA($C$6:C141))</f>
        <v/>
      </c>
      <c r="B141" s="24" t="n"/>
      <c r="C141" s="48" t="n"/>
      <c r="D141" s="25" t="n"/>
      <c r="E141" s="25" t="n"/>
      <c r="F141" s="44">
        <f>IF(E141="", "", IF(OR(E141=".NET 8 (SDK v1.5+ hỗ trợ chính thức)", E141=".NET 6 / .NET 7 (SDK v1.5+ hỗ trợ chính thức)"), "Hỗ trợ chuẩn SDK (.NET 6/7/8)", "Ngoài phạm vi SDK (Dùng OTel Native)"))</f>
        <v/>
      </c>
      <c r="G141" s="25" t="n"/>
      <c r="H141" s="25" t="n"/>
      <c r="I141" s="25" t="n"/>
      <c r="J141" s="25" t="n"/>
      <c r="K141" s="44">
        <f>IF(COUNTA(H141:J141)=0, "", IF(COUNTIF(H141:J141, "Đã hoàn thành (Đạt chuẩn)")=3, "ĐỦ 3 TRỤC (100%)", IF(COUNTIF(H141:J141, "Chưa triển khai")=3, "CHƯA GẮN (0%)", "THIẾU / CHƯA ĐẠT (" &amp; COUNTIF(H141:J141, "Đã hoàn thành (Đạt chuẩn)") &amp; "/3)")))</f>
        <v/>
      </c>
      <c r="L141" s="25" t="n"/>
      <c r="M141" s="25" t="n"/>
      <c r="N141" s="25" t="n"/>
      <c r="O141" s="44">
        <f>IF(COUNTA(L141:N141)=0, "", IF(COUNTIF(L141:N141, "Đã có (Đạt chuẩn)")=3, "ĐỦ 3 LEVEL DASHBOARD", IF(COUNTIF(L141:N141, "Chưa có")=3, "CHƯA CÓ DASHBOARD", "THIẾU DASHBOARD (" &amp; COUNTIF(L141:N141, "Đã có (Đạt chuẩn)") &amp; "/3)")))</f>
        <v/>
      </c>
      <c r="P141" s="25" t="n"/>
      <c r="Q141" s="25" t="n"/>
      <c r="R141" s="44">
        <f>IF(C141="", "", IF(P141="Đẩy thẳng Kafka / ES (Vi phạm BLOCKER)", "VI PHẠM (BLOCKER)", IF(AND(K141="ĐỦ 3 TRỤC (100%)", O141="ĐỦ 3 LEVEL DASHBOARD", P141="Qua OTel Collector (Đúng chuẩn)"), "ĐẠT CHUẨN QG2 (PASS)", IF(AND(K141="CHƯA GẮN (0%)", O141="CHƯA CÓ DASHBOARD"), "CHƯA TRIỂN KHAI", "ĐANG HOÀN THIỆN (PENDING)"))))</f>
        <v/>
      </c>
      <c r="S141" s="24" t="n"/>
      <c r="T141" s="24" t="n"/>
      <c r="U141" s="25" t="n"/>
      <c r="V141" s="24" t="n"/>
    </row>
    <row r="142" ht="24" customHeight="1">
      <c r="A142" s="44">
        <f>IF(COUNTA(B142:C142)=0, "", COUNTA($C$6:C142))</f>
        <v/>
      </c>
      <c r="B142" s="45" t="n"/>
      <c r="C142" s="46" t="n"/>
      <c r="D142" s="47" t="n"/>
      <c r="E142" s="47" t="n"/>
      <c r="F142" s="44">
        <f>IF(E142="", "", IF(OR(E142=".NET 8 (SDK v1.5+ hỗ trợ chính thức)", E142=".NET 6 / .NET 7 (SDK v1.5+ hỗ trợ chính thức)"), "Hỗ trợ chuẩn SDK (.NET 6/7/8)", "Ngoài phạm vi SDK (Dùng OTel Native)"))</f>
        <v/>
      </c>
      <c r="G142" s="47" t="n"/>
      <c r="H142" s="47" t="n"/>
      <c r="I142" s="47" t="n"/>
      <c r="J142" s="47" t="n"/>
      <c r="K142" s="44">
        <f>IF(COUNTA(H142:J142)=0, "", IF(COUNTIF(H142:J142, "Đã hoàn thành (Đạt chuẩn)")=3, "ĐỦ 3 TRỤC (100%)", IF(COUNTIF(H142:J142, "Chưa triển khai")=3, "CHƯA GẮN (0%)", "THIẾU / CHƯA ĐẠT (" &amp; COUNTIF(H142:J142, "Đã hoàn thành (Đạt chuẩn)") &amp; "/3)")))</f>
        <v/>
      </c>
      <c r="L142" s="47" t="n"/>
      <c r="M142" s="47" t="n"/>
      <c r="N142" s="47" t="n"/>
      <c r="O142" s="44">
        <f>IF(COUNTA(L142:N142)=0, "", IF(COUNTIF(L142:N142, "Đã có (Đạt chuẩn)")=3, "ĐỦ 3 LEVEL DASHBOARD", IF(COUNTIF(L142:N142, "Chưa có")=3, "CHƯA CÓ DASHBOARD", "THIẾU DASHBOARD (" &amp; COUNTIF(L142:N142, "Đã có (Đạt chuẩn)") &amp; "/3)")))</f>
        <v/>
      </c>
      <c r="P142" s="47" t="n"/>
      <c r="Q142" s="47" t="n"/>
      <c r="R142" s="44">
        <f>IF(C142="", "", IF(P142="Đẩy thẳng Kafka / ES (Vi phạm BLOCKER)", "VI PHẠM (BLOCKER)", IF(AND(K142="ĐỦ 3 TRỤC (100%)", O142="ĐỦ 3 LEVEL DASHBOARD", P142="Qua OTel Collector (Đúng chuẩn)"), "ĐẠT CHUẨN QG2 (PASS)", IF(AND(K142="CHƯA GẮN (0%)", O142="CHƯA CÓ DASHBOARD"), "CHƯA TRIỂN KHAI", "ĐANG HOÀN THIỆN (PENDING)"))))</f>
        <v/>
      </c>
      <c r="S142" s="45" t="n"/>
      <c r="T142" s="45" t="n"/>
      <c r="U142" s="47" t="n"/>
      <c r="V142" s="45" t="n"/>
    </row>
    <row r="143" ht="24" customHeight="1">
      <c r="A143" s="44">
        <f>IF(COUNTA(B143:C143)=0, "", COUNTA($C$6:C143))</f>
        <v/>
      </c>
      <c r="B143" s="24" t="n"/>
      <c r="C143" s="48" t="n"/>
      <c r="D143" s="25" t="n"/>
      <c r="E143" s="25" t="n"/>
      <c r="F143" s="44">
        <f>IF(E143="", "", IF(OR(E143=".NET 8 (SDK v1.5+ hỗ trợ chính thức)", E143=".NET 6 / .NET 7 (SDK v1.5+ hỗ trợ chính thức)"), "Hỗ trợ chuẩn SDK (.NET 6/7/8)", "Ngoài phạm vi SDK (Dùng OTel Native)"))</f>
        <v/>
      </c>
      <c r="G143" s="25" t="n"/>
      <c r="H143" s="25" t="n"/>
      <c r="I143" s="25" t="n"/>
      <c r="J143" s="25" t="n"/>
      <c r="K143" s="44">
        <f>IF(COUNTA(H143:J143)=0, "", IF(COUNTIF(H143:J143, "Đã hoàn thành (Đạt chuẩn)")=3, "ĐỦ 3 TRỤC (100%)", IF(COUNTIF(H143:J143, "Chưa triển khai")=3, "CHƯA GẮN (0%)", "THIẾU / CHƯA ĐẠT (" &amp; COUNTIF(H143:J143, "Đã hoàn thành (Đạt chuẩn)") &amp; "/3)")))</f>
        <v/>
      </c>
      <c r="L143" s="25" t="n"/>
      <c r="M143" s="25" t="n"/>
      <c r="N143" s="25" t="n"/>
      <c r="O143" s="44">
        <f>IF(COUNTA(L143:N143)=0, "", IF(COUNTIF(L143:N143, "Đã có (Đạt chuẩn)")=3, "ĐỦ 3 LEVEL DASHBOARD", IF(COUNTIF(L143:N143, "Chưa có")=3, "CHƯA CÓ DASHBOARD", "THIẾU DASHBOARD (" &amp; COUNTIF(L143:N143, "Đã có (Đạt chuẩn)") &amp; "/3)")))</f>
        <v/>
      </c>
      <c r="P143" s="25" t="n"/>
      <c r="Q143" s="25" t="n"/>
      <c r="R143" s="44">
        <f>IF(C143="", "", IF(P143="Đẩy thẳng Kafka / ES (Vi phạm BLOCKER)", "VI PHẠM (BLOCKER)", IF(AND(K143="ĐỦ 3 TRỤC (100%)", O143="ĐỦ 3 LEVEL DASHBOARD", P143="Qua OTel Collector (Đúng chuẩn)"), "ĐẠT CHUẨN QG2 (PASS)", IF(AND(K143="CHƯA GẮN (0%)", O143="CHƯA CÓ DASHBOARD"), "CHƯA TRIỂN KHAI", "ĐANG HOÀN THIỆN (PENDING)"))))</f>
        <v/>
      </c>
      <c r="S143" s="24" t="n"/>
      <c r="T143" s="24" t="n"/>
      <c r="U143" s="25" t="n"/>
      <c r="V143" s="24" t="n"/>
    </row>
    <row r="144" ht="24" customHeight="1">
      <c r="A144" s="44">
        <f>IF(COUNTA(B144:C144)=0, "", COUNTA($C$6:C144))</f>
        <v/>
      </c>
      <c r="B144" s="45" t="n"/>
      <c r="C144" s="46" t="n"/>
      <c r="D144" s="47" t="n"/>
      <c r="E144" s="47" t="n"/>
      <c r="F144" s="44">
        <f>IF(E144="", "", IF(OR(E144=".NET 8 (SDK v1.5+ hỗ trợ chính thức)", E144=".NET 6 / .NET 7 (SDK v1.5+ hỗ trợ chính thức)"), "Hỗ trợ chuẩn SDK (.NET 6/7/8)", "Ngoài phạm vi SDK (Dùng OTel Native)"))</f>
        <v/>
      </c>
      <c r="G144" s="47" t="n"/>
      <c r="H144" s="47" t="n"/>
      <c r="I144" s="47" t="n"/>
      <c r="J144" s="47" t="n"/>
      <c r="K144" s="44">
        <f>IF(COUNTA(H144:J144)=0, "", IF(COUNTIF(H144:J144, "Đã hoàn thành (Đạt chuẩn)")=3, "ĐỦ 3 TRỤC (100%)", IF(COUNTIF(H144:J144, "Chưa triển khai")=3, "CHƯA GẮN (0%)", "THIẾU / CHƯA ĐẠT (" &amp; COUNTIF(H144:J144, "Đã hoàn thành (Đạt chuẩn)") &amp; "/3)")))</f>
        <v/>
      </c>
      <c r="L144" s="47" t="n"/>
      <c r="M144" s="47" t="n"/>
      <c r="N144" s="47" t="n"/>
      <c r="O144" s="44">
        <f>IF(COUNTA(L144:N144)=0, "", IF(COUNTIF(L144:N144, "Đã có (Đạt chuẩn)")=3, "ĐỦ 3 LEVEL DASHBOARD", IF(COUNTIF(L144:N144, "Chưa có")=3, "CHƯA CÓ DASHBOARD", "THIẾU DASHBOARD (" &amp; COUNTIF(L144:N144, "Đã có (Đạt chuẩn)") &amp; "/3)")))</f>
        <v/>
      </c>
      <c r="P144" s="47" t="n"/>
      <c r="Q144" s="47" t="n"/>
      <c r="R144" s="44">
        <f>IF(C144="", "", IF(P144="Đẩy thẳng Kafka / ES (Vi phạm BLOCKER)", "VI PHẠM (BLOCKER)", IF(AND(K144="ĐỦ 3 TRỤC (100%)", O144="ĐỦ 3 LEVEL DASHBOARD", P144="Qua OTel Collector (Đúng chuẩn)"), "ĐẠT CHUẨN QG2 (PASS)", IF(AND(K144="CHƯA GẮN (0%)", O144="CHƯA CÓ DASHBOARD"), "CHƯA TRIỂN KHAI", "ĐANG HOÀN THIỆN (PENDING)"))))</f>
        <v/>
      </c>
      <c r="S144" s="45" t="n"/>
      <c r="T144" s="45" t="n"/>
      <c r="U144" s="47" t="n"/>
      <c r="V144" s="45" t="n"/>
    </row>
    <row r="145" ht="24" customHeight="1">
      <c r="A145" s="44">
        <f>IF(COUNTA(B145:C145)=0, "", COUNTA($C$6:C145))</f>
        <v/>
      </c>
      <c r="B145" s="24" t="n"/>
      <c r="C145" s="48" t="n"/>
      <c r="D145" s="25" t="n"/>
      <c r="E145" s="25" t="n"/>
      <c r="F145" s="44">
        <f>IF(E145="", "", IF(OR(E145=".NET 8 (SDK v1.5+ hỗ trợ chính thức)", E145=".NET 6 / .NET 7 (SDK v1.5+ hỗ trợ chính thức)"), "Hỗ trợ chuẩn SDK (.NET 6/7/8)", "Ngoài phạm vi SDK (Dùng OTel Native)"))</f>
        <v/>
      </c>
      <c r="G145" s="25" t="n"/>
      <c r="H145" s="25" t="n"/>
      <c r="I145" s="25" t="n"/>
      <c r="J145" s="25" t="n"/>
      <c r="K145" s="44">
        <f>IF(COUNTA(H145:J145)=0, "", IF(COUNTIF(H145:J145, "Đã hoàn thành (Đạt chuẩn)")=3, "ĐỦ 3 TRỤC (100%)", IF(COUNTIF(H145:J145, "Chưa triển khai")=3, "CHƯA GẮN (0%)", "THIẾU / CHƯA ĐẠT (" &amp; COUNTIF(H145:J145, "Đã hoàn thành (Đạt chuẩn)") &amp; "/3)")))</f>
        <v/>
      </c>
      <c r="L145" s="25" t="n"/>
      <c r="M145" s="25" t="n"/>
      <c r="N145" s="25" t="n"/>
      <c r="O145" s="44">
        <f>IF(COUNTA(L145:N145)=0, "", IF(COUNTIF(L145:N145, "Đã có (Đạt chuẩn)")=3, "ĐỦ 3 LEVEL DASHBOARD", IF(COUNTIF(L145:N145, "Chưa có")=3, "CHƯA CÓ DASHBOARD", "THIẾU DASHBOARD (" &amp; COUNTIF(L145:N145, "Đã có (Đạt chuẩn)") &amp; "/3)")))</f>
        <v/>
      </c>
      <c r="P145" s="25" t="n"/>
      <c r="Q145" s="25" t="n"/>
      <c r="R145" s="44">
        <f>IF(C145="", "", IF(P145="Đẩy thẳng Kafka / ES (Vi phạm BLOCKER)", "VI PHẠM (BLOCKER)", IF(AND(K145="ĐỦ 3 TRỤC (100%)", O145="ĐỦ 3 LEVEL DASHBOARD", P145="Qua OTel Collector (Đúng chuẩn)"), "ĐẠT CHUẨN QG2 (PASS)", IF(AND(K145="CHƯA GẮN (0%)", O145="CHƯA CÓ DASHBOARD"), "CHƯA TRIỂN KHAI", "ĐANG HOÀN THIỆN (PENDING)"))))</f>
        <v/>
      </c>
      <c r="S145" s="24" t="n"/>
      <c r="T145" s="24" t="n"/>
      <c r="U145" s="25" t="n"/>
      <c r="V145" s="24" t="n"/>
    </row>
    <row r="146" ht="24" customHeight="1">
      <c r="A146" s="44">
        <f>IF(COUNTA(B146:C146)=0, "", COUNTA($C$6:C146))</f>
        <v/>
      </c>
      <c r="B146" s="45" t="n"/>
      <c r="C146" s="46" t="n"/>
      <c r="D146" s="47" t="n"/>
      <c r="E146" s="47" t="n"/>
      <c r="F146" s="44">
        <f>IF(E146="", "", IF(OR(E146=".NET 8 (SDK v1.5+ hỗ trợ chính thức)", E146=".NET 6 / .NET 7 (SDK v1.5+ hỗ trợ chính thức)"), "Hỗ trợ chuẩn SDK (.NET 6/7/8)", "Ngoài phạm vi SDK (Dùng OTel Native)"))</f>
        <v/>
      </c>
      <c r="G146" s="47" t="n"/>
      <c r="H146" s="47" t="n"/>
      <c r="I146" s="47" t="n"/>
      <c r="J146" s="47" t="n"/>
      <c r="K146" s="44">
        <f>IF(COUNTA(H146:J146)=0, "", IF(COUNTIF(H146:J146, "Đã hoàn thành (Đạt chuẩn)")=3, "ĐỦ 3 TRỤC (100%)", IF(COUNTIF(H146:J146, "Chưa triển khai")=3, "CHƯA GẮN (0%)", "THIẾU / CHƯA ĐẠT (" &amp; COUNTIF(H146:J146, "Đã hoàn thành (Đạt chuẩn)") &amp; "/3)")))</f>
        <v/>
      </c>
      <c r="L146" s="47" t="n"/>
      <c r="M146" s="47" t="n"/>
      <c r="N146" s="47" t="n"/>
      <c r="O146" s="44">
        <f>IF(COUNTA(L146:N146)=0, "", IF(COUNTIF(L146:N146, "Đã có (Đạt chuẩn)")=3, "ĐỦ 3 LEVEL DASHBOARD", IF(COUNTIF(L146:N146, "Chưa có")=3, "CHƯA CÓ DASHBOARD", "THIẾU DASHBOARD (" &amp; COUNTIF(L146:N146, "Đã có (Đạt chuẩn)") &amp; "/3)")))</f>
        <v/>
      </c>
      <c r="P146" s="47" t="n"/>
      <c r="Q146" s="47" t="n"/>
      <c r="R146" s="44">
        <f>IF(C146="", "", IF(P146="Đẩy thẳng Kafka / ES (Vi phạm BLOCKER)", "VI PHẠM (BLOCKER)", IF(AND(K146="ĐỦ 3 TRỤC (100%)", O146="ĐỦ 3 LEVEL DASHBOARD", P146="Qua OTel Collector (Đúng chuẩn)"), "ĐẠT CHUẨN QG2 (PASS)", IF(AND(K146="CHƯA GẮN (0%)", O146="CHƯA CÓ DASHBOARD"), "CHƯA TRIỂN KHAI", "ĐANG HOÀN THIỆN (PENDING)"))))</f>
        <v/>
      </c>
      <c r="S146" s="45" t="n"/>
      <c r="T146" s="45" t="n"/>
      <c r="U146" s="47" t="n"/>
      <c r="V146" s="45" t="n"/>
    </row>
    <row r="147" ht="24" customHeight="1">
      <c r="A147" s="44">
        <f>IF(COUNTA(B147:C147)=0, "", COUNTA($C$6:C147))</f>
        <v/>
      </c>
      <c r="B147" s="24" t="n"/>
      <c r="C147" s="48" t="n"/>
      <c r="D147" s="25" t="n"/>
      <c r="E147" s="25" t="n"/>
      <c r="F147" s="44">
        <f>IF(E147="", "", IF(OR(E147=".NET 8 (SDK v1.5+ hỗ trợ chính thức)", E147=".NET 6 / .NET 7 (SDK v1.5+ hỗ trợ chính thức)"), "Hỗ trợ chuẩn SDK (.NET 6/7/8)", "Ngoài phạm vi SDK (Dùng OTel Native)"))</f>
        <v/>
      </c>
      <c r="G147" s="25" t="n"/>
      <c r="H147" s="25" t="n"/>
      <c r="I147" s="25" t="n"/>
      <c r="J147" s="25" t="n"/>
      <c r="K147" s="44">
        <f>IF(COUNTA(H147:J147)=0, "", IF(COUNTIF(H147:J147, "Đã hoàn thành (Đạt chuẩn)")=3, "ĐỦ 3 TRỤC (100%)", IF(COUNTIF(H147:J147, "Chưa triển khai")=3, "CHƯA GẮN (0%)", "THIẾU / CHƯA ĐẠT (" &amp; COUNTIF(H147:J147, "Đã hoàn thành (Đạt chuẩn)") &amp; "/3)")))</f>
        <v/>
      </c>
      <c r="L147" s="25" t="n"/>
      <c r="M147" s="25" t="n"/>
      <c r="N147" s="25" t="n"/>
      <c r="O147" s="44">
        <f>IF(COUNTA(L147:N147)=0, "", IF(COUNTIF(L147:N147, "Đã có (Đạt chuẩn)")=3, "ĐỦ 3 LEVEL DASHBOARD", IF(COUNTIF(L147:N147, "Chưa có")=3, "CHƯA CÓ DASHBOARD", "THIẾU DASHBOARD (" &amp; COUNTIF(L147:N147, "Đã có (Đạt chuẩn)") &amp; "/3)")))</f>
        <v/>
      </c>
      <c r="P147" s="25" t="n"/>
      <c r="Q147" s="25" t="n"/>
      <c r="R147" s="44">
        <f>IF(C147="", "", IF(P147="Đẩy thẳng Kafka / ES (Vi phạm BLOCKER)", "VI PHẠM (BLOCKER)", IF(AND(K147="ĐỦ 3 TRỤC (100%)", O147="ĐỦ 3 LEVEL DASHBOARD", P147="Qua OTel Collector (Đúng chuẩn)"), "ĐẠT CHUẨN QG2 (PASS)", IF(AND(K147="CHƯA GẮN (0%)", O147="CHƯA CÓ DASHBOARD"), "CHƯA TRIỂN KHAI", "ĐANG HOÀN THIỆN (PENDING)"))))</f>
        <v/>
      </c>
      <c r="S147" s="24" t="n"/>
      <c r="T147" s="24" t="n"/>
      <c r="U147" s="25" t="n"/>
      <c r="V147" s="24" t="n"/>
    </row>
    <row r="148" ht="24" customHeight="1">
      <c r="A148" s="44">
        <f>IF(COUNTA(B148:C148)=0, "", COUNTA($C$6:C148))</f>
        <v/>
      </c>
      <c r="B148" s="45" t="n"/>
      <c r="C148" s="46" t="n"/>
      <c r="D148" s="47" t="n"/>
      <c r="E148" s="47" t="n"/>
      <c r="F148" s="44">
        <f>IF(E148="", "", IF(OR(E148=".NET 8 (SDK v1.5+ hỗ trợ chính thức)", E148=".NET 6 / .NET 7 (SDK v1.5+ hỗ trợ chính thức)"), "Hỗ trợ chuẩn SDK (.NET 6/7/8)", "Ngoài phạm vi SDK (Dùng OTel Native)"))</f>
        <v/>
      </c>
      <c r="G148" s="47" t="n"/>
      <c r="H148" s="47" t="n"/>
      <c r="I148" s="47" t="n"/>
      <c r="J148" s="47" t="n"/>
      <c r="K148" s="44">
        <f>IF(COUNTA(H148:J148)=0, "", IF(COUNTIF(H148:J148, "Đã hoàn thành (Đạt chuẩn)")=3, "ĐỦ 3 TRỤC (100%)", IF(COUNTIF(H148:J148, "Chưa triển khai")=3, "CHƯA GẮN (0%)", "THIẾU / CHƯA ĐẠT (" &amp; COUNTIF(H148:J148, "Đã hoàn thành (Đạt chuẩn)") &amp; "/3)")))</f>
        <v/>
      </c>
      <c r="L148" s="47" t="n"/>
      <c r="M148" s="47" t="n"/>
      <c r="N148" s="47" t="n"/>
      <c r="O148" s="44">
        <f>IF(COUNTA(L148:N148)=0, "", IF(COUNTIF(L148:N148, "Đã có (Đạt chuẩn)")=3, "ĐỦ 3 LEVEL DASHBOARD", IF(COUNTIF(L148:N148, "Chưa có")=3, "CHƯA CÓ DASHBOARD", "THIẾU DASHBOARD (" &amp; COUNTIF(L148:N148, "Đã có (Đạt chuẩn)") &amp; "/3)")))</f>
        <v/>
      </c>
      <c r="P148" s="47" t="n"/>
      <c r="Q148" s="47" t="n"/>
      <c r="R148" s="44">
        <f>IF(C148="", "", IF(P148="Đẩy thẳng Kafka / ES (Vi phạm BLOCKER)", "VI PHẠM (BLOCKER)", IF(AND(K148="ĐỦ 3 TRỤC (100%)", O148="ĐỦ 3 LEVEL DASHBOARD", P148="Qua OTel Collector (Đúng chuẩn)"), "ĐẠT CHUẨN QG2 (PASS)", IF(AND(K148="CHƯA GẮN (0%)", O148="CHƯA CÓ DASHBOARD"), "CHƯA TRIỂN KHAI", "ĐANG HOÀN THIỆN (PENDING)"))))</f>
        <v/>
      </c>
      <c r="S148" s="45" t="n"/>
      <c r="T148" s="45" t="n"/>
      <c r="U148" s="47" t="n"/>
      <c r="V148" s="45" t="n"/>
    </row>
    <row r="149" ht="24" customHeight="1">
      <c r="A149" s="44">
        <f>IF(COUNTA(B149:C149)=0, "", COUNTA($C$6:C149))</f>
        <v/>
      </c>
      <c r="B149" s="24" t="n"/>
      <c r="C149" s="48" t="n"/>
      <c r="D149" s="25" t="n"/>
      <c r="E149" s="25" t="n"/>
      <c r="F149" s="44">
        <f>IF(E149="", "", IF(OR(E149=".NET 8 (SDK v1.5+ hỗ trợ chính thức)", E149=".NET 6 / .NET 7 (SDK v1.5+ hỗ trợ chính thức)"), "Hỗ trợ chuẩn SDK (.NET 6/7/8)", "Ngoài phạm vi SDK (Dùng OTel Native)"))</f>
        <v/>
      </c>
      <c r="G149" s="25" t="n"/>
      <c r="H149" s="25" t="n"/>
      <c r="I149" s="25" t="n"/>
      <c r="J149" s="25" t="n"/>
      <c r="K149" s="44">
        <f>IF(COUNTA(H149:J149)=0, "", IF(COUNTIF(H149:J149, "Đã hoàn thành (Đạt chuẩn)")=3, "ĐỦ 3 TRỤC (100%)", IF(COUNTIF(H149:J149, "Chưa triển khai")=3, "CHƯA GẮN (0%)", "THIẾU / CHƯA ĐẠT (" &amp; COUNTIF(H149:J149, "Đã hoàn thành (Đạt chuẩn)") &amp; "/3)")))</f>
        <v/>
      </c>
      <c r="L149" s="25" t="n"/>
      <c r="M149" s="25" t="n"/>
      <c r="N149" s="25" t="n"/>
      <c r="O149" s="44">
        <f>IF(COUNTA(L149:N149)=0, "", IF(COUNTIF(L149:N149, "Đã có (Đạt chuẩn)")=3, "ĐỦ 3 LEVEL DASHBOARD", IF(COUNTIF(L149:N149, "Chưa có")=3, "CHƯA CÓ DASHBOARD", "THIẾU DASHBOARD (" &amp; COUNTIF(L149:N149, "Đã có (Đạt chuẩn)") &amp; "/3)")))</f>
        <v/>
      </c>
      <c r="P149" s="25" t="n"/>
      <c r="Q149" s="25" t="n"/>
      <c r="R149" s="44">
        <f>IF(C149="", "", IF(P149="Đẩy thẳng Kafka / ES (Vi phạm BLOCKER)", "VI PHẠM (BLOCKER)", IF(AND(K149="ĐỦ 3 TRỤC (100%)", O149="ĐỦ 3 LEVEL DASHBOARD", P149="Qua OTel Collector (Đúng chuẩn)"), "ĐẠT CHUẨN QG2 (PASS)", IF(AND(K149="CHƯA GẮN (0%)", O149="CHƯA CÓ DASHBOARD"), "CHƯA TRIỂN KHAI", "ĐANG HOÀN THIỆN (PENDING)"))))</f>
        <v/>
      </c>
      <c r="S149" s="24" t="n"/>
      <c r="T149" s="24" t="n"/>
      <c r="U149" s="25" t="n"/>
      <c r="V149" s="24" t="n"/>
    </row>
    <row r="150" ht="24" customHeight="1">
      <c r="A150" s="44">
        <f>IF(COUNTA(B150:C150)=0, "", COUNTA($C$6:C150))</f>
        <v/>
      </c>
      <c r="B150" s="45" t="n"/>
      <c r="C150" s="46" t="n"/>
      <c r="D150" s="47" t="n"/>
      <c r="E150" s="47" t="n"/>
      <c r="F150" s="44">
        <f>IF(E150="", "", IF(OR(E150=".NET 8 (SDK v1.5+ hỗ trợ chính thức)", E150=".NET 6 / .NET 7 (SDK v1.5+ hỗ trợ chính thức)"), "Hỗ trợ chuẩn SDK (.NET 6/7/8)", "Ngoài phạm vi SDK (Dùng OTel Native)"))</f>
        <v/>
      </c>
      <c r="G150" s="47" t="n"/>
      <c r="H150" s="47" t="n"/>
      <c r="I150" s="47" t="n"/>
      <c r="J150" s="47" t="n"/>
      <c r="K150" s="44">
        <f>IF(COUNTA(H150:J150)=0, "", IF(COUNTIF(H150:J150, "Đã hoàn thành (Đạt chuẩn)")=3, "ĐỦ 3 TRỤC (100%)", IF(COUNTIF(H150:J150, "Chưa triển khai")=3, "CHƯA GẮN (0%)", "THIẾU / CHƯA ĐẠT (" &amp; COUNTIF(H150:J150, "Đã hoàn thành (Đạt chuẩn)") &amp; "/3)")))</f>
        <v/>
      </c>
      <c r="L150" s="47" t="n"/>
      <c r="M150" s="47" t="n"/>
      <c r="N150" s="47" t="n"/>
      <c r="O150" s="44">
        <f>IF(COUNTA(L150:N150)=0, "", IF(COUNTIF(L150:N150, "Đã có (Đạt chuẩn)")=3, "ĐỦ 3 LEVEL DASHBOARD", IF(COUNTIF(L150:N150, "Chưa có")=3, "CHƯA CÓ DASHBOARD", "THIẾU DASHBOARD (" &amp; COUNTIF(L150:N150, "Đã có (Đạt chuẩn)") &amp; "/3)")))</f>
        <v/>
      </c>
      <c r="P150" s="47" t="n"/>
      <c r="Q150" s="47" t="n"/>
      <c r="R150" s="44">
        <f>IF(C150="", "", IF(P150="Đẩy thẳng Kafka / ES (Vi phạm BLOCKER)", "VI PHẠM (BLOCKER)", IF(AND(K150="ĐỦ 3 TRỤC (100%)", O150="ĐỦ 3 LEVEL DASHBOARD", P150="Qua OTel Collector (Đúng chuẩn)"), "ĐẠT CHUẨN QG2 (PASS)", IF(AND(K150="CHƯA GẮN (0%)", O150="CHƯA CÓ DASHBOARD"), "CHƯA TRIỂN KHAI", "ĐANG HOÀN THIỆN (PENDING)"))))</f>
        <v/>
      </c>
      <c r="S150" s="45" t="n"/>
      <c r="T150" s="45" t="n"/>
      <c r="U150" s="47" t="n"/>
      <c r="V150" s="45" t="n"/>
    </row>
    <row r="151" ht="24" customHeight="1">
      <c r="A151" s="44">
        <f>IF(COUNTA(B151:C151)=0, "", COUNTA($C$6:C151))</f>
        <v/>
      </c>
      <c r="B151" s="24" t="n"/>
      <c r="C151" s="48" t="n"/>
      <c r="D151" s="25" t="n"/>
      <c r="E151" s="25" t="n"/>
      <c r="F151" s="44">
        <f>IF(E151="", "", IF(OR(E151=".NET 8 (SDK v1.5+ hỗ trợ chính thức)", E151=".NET 6 / .NET 7 (SDK v1.5+ hỗ trợ chính thức)"), "Hỗ trợ chuẩn SDK (.NET 6/7/8)", "Ngoài phạm vi SDK (Dùng OTel Native)"))</f>
        <v/>
      </c>
      <c r="G151" s="25" t="n"/>
      <c r="H151" s="25" t="n"/>
      <c r="I151" s="25" t="n"/>
      <c r="J151" s="25" t="n"/>
      <c r="K151" s="44">
        <f>IF(COUNTA(H151:J151)=0, "", IF(COUNTIF(H151:J151, "Đã hoàn thành (Đạt chuẩn)")=3, "ĐỦ 3 TRỤC (100%)", IF(COUNTIF(H151:J151, "Chưa triển khai")=3, "CHƯA GẮN (0%)", "THIẾU / CHƯA ĐẠT (" &amp; COUNTIF(H151:J151, "Đã hoàn thành (Đạt chuẩn)") &amp; "/3)")))</f>
        <v/>
      </c>
      <c r="L151" s="25" t="n"/>
      <c r="M151" s="25" t="n"/>
      <c r="N151" s="25" t="n"/>
      <c r="O151" s="44">
        <f>IF(COUNTA(L151:N151)=0, "", IF(COUNTIF(L151:N151, "Đã có (Đạt chuẩn)")=3, "ĐỦ 3 LEVEL DASHBOARD", IF(COUNTIF(L151:N151, "Chưa có")=3, "CHƯA CÓ DASHBOARD", "THIẾU DASHBOARD (" &amp; COUNTIF(L151:N151, "Đã có (Đạt chuẩn)") &amp; "/3)")))</f>
        <v/>
      </c>
      <c r="P151" s="25" t="n"/>
      <c r="Q151" s="25" t="n"/>
      <c r="R151" s="44">
        <f>IF(C151="", "", IF(P151="Đẩy thẳng Kafka / ES (Vi phạm BLOCKER)", "VI PHẠM (BLOCKER)", IF(AND(K151="ĐỦ 3 TRỤC (100%)", O151="ĐỦ 3 LEVEL DASHBOARD", P151="Qua OTel Collector (Đúng chuẩn)"), "ĐẠT CHUẨN QG2 (PASS)", IF(AND(K151="CHƯA GẮN (0%)", O151="CHƯA CÓ DASHBOARD"), "CHƯA TRIỂN KHAI", "ĐANG HOÀN THIỆN (PENDING)"))))</f>
        <v/>
      </c>
      <c r="S151" s="24" t="n"/>
      <c r="T151" s="24" t="n"/>
      <c r="U151" s="25" t="n"/>
      <c r="V151" s="24" t="n"/>
    </row>
    <row r="152" ht="24" customHeight="1">
      <c r="A152" s="44">
        <f>IF(COUNTA(B152:C152)=0, "", COUNTA($C$6:C152))</f>
        <v/>
      </c>
      <c r="B152" s="45" t="n"/>
      <c r="C152" s="46" t="n"/>
      <c r="D152" s="47" t="n"/>
      <c r="E152" s="47" t="n"/>
      <c r="F152" s="44">
        <f>IF(E152="", "", IF(OR(E152=".NET 8 (SDK v1.5+ hỗ trợ chính thức)", E152=".NET 6 / .NET 7 (SDK v1.5+ hỗ trợ chính thức)"), "Hỗ trợ chuẩn SDK (.NET 6/7/8)", "Ngoài phạm vi SDK (Dùng OTel Native)"))</f>
        <v/>
      </c>
      <c r="G152" s="47" t="n"/>
      <c r="H152" s="47" t="n"/>
      <c r="I152" s="47" t="n"/>
      <c r="J152" s="47" t="n"/>
      <c r="K152" s="44">
        <f>IF(COUNTA(H152:J152)=0, "", IF(COUNTIF(H152:J152, "Đã hoàn thành (Đạt chuẩn)")=3, "ĐỦ 3 TRỤC (100%)", IF(COUNTIF(H152:J152, "Chưa triển khai")=3, "CHƯA GẮN (0%)", "THIẾU / CHƯA ĐẠT (" &amp; COUNTIF(H152:J152, "Đã hoàn thành (Đạt chuẩn)") &amp; "/3)")))</f>
        <v/>
      </c>
      <c r="L152" s="47" t="n"/>
      <c r="M152" s="47" t="n"/>
      <c r="N152" s="47" t="n"/>
      <c r="O152" s="44">
        <f>IF(COUNTA(L152:N152)=0, "", IF(COUNTIF(L152:N152, "Đã có (Đạt chuẩn)")=3, "ĐỦ 3 LEVEL DASHBOARD", IF(COUNTIF(L152:N152, "Chưa có")=3, "CHƯA CÓ DASHBOARD", "THIẾU DASHBOARD (" &amp; COUNTIF(L152:N152, "Đã có (Đạt chuẩn)") &amp; "/3)")))</f>
        <v/>
      </c>
      <c r="P152" s="47" t="n"/>
      <c r="Q152" s="47" t="n"/>
      <c r="R152" s="44">
        <f>IF(C152="", "", IF(P152="Đẩy thẳng Kafka / ES (Vi phạm BLOCKER)", "VI PHẠM (BLOCKER)", IF(AND(K152="ĐỦ 3 TRỤC (100%)", O152="ĐỦ 3 LEVEL DASHBOARD", P152="Qua OTel Collector (Đúng chuẩn)"), "ĐẠT CHUẨN QG2 (PASS)", IF(AND(K152="CHƯA GẮN (0%)", O152="CHƯA CÓ DASHBOARD"), "CHƯA TRIỂN KHAI", "ĐANG HOÀN THIỆN (PENDING)"))))</f>
        <v/>
      </c>
      <c r="S152" s="45" t="n"/>
      <c r="T152" s="45" t="n"/>
      <c r="U152" s="47" t="n"/>
      <c r="V152" s="45" t="n"/>
    </row>
    <row r="153" ht="24" customHeight="1">
      <c r="A153" s="44">
        <f>IF(COUNTA(B153:C153)=0, "", COUNTA($C$6:C153))</f>
        <v/>
      </c>
      <c r="B153" s="24" t="n"/>
      <c r="C153" s="48" t="n"/>
      <c r="D153" s="25" t="n"/>
      <c r="E153" s="25" t="n"/>
      <c r="F153" s="44">
        <f>IF(E153="", "", IF(OR(E153=".NET 8 (SDK v1.5+ hỗ trợ chính thức)", E153=".NET 6 / .NET 7 (SDK v1.5+ hỗ trợ chính thức)"), "Hỗ trợ chuẩn SDK (.NET 6/7/8)", "Ngoài phạm vi SDK (Dùng OTel Native)"))</f>
        <v/>
      </c>
      <c r="G153" s="25" t="n"/>
      <c r="H153" s="25" t="n"/>
      <c r="I153" s="25" t="n"/>
      <c r="J153" s="25" t="n"/>
      <c r="K153" s="44">
        <f>IF(COUNTA(H153:J153)=0, "", IF(COUNTIF(H153:J153, "Đã hoàn thành (Đạt chuẩn)")=3, "ĐỦ 3 TRỤC (100%)", IF(COUNTIF(H153:J153, "Chưa triển khai")=3, "CHƯA GẮN (0%)", "THIẾU / CHƯA ĐẠT (" &amp; COUNTIF(H153:J153, "Đã hoàn thành (Đạt chuẩn)") &amp; "/3)")))</f>
        <v/>
      </c>
      <c r="L153" s="25" t="n"/>
      <c r="M153" s="25" t="n"/>
      <c r="N153" s="25" t="n"/>
      <c r="O153" s="44">
        <f>IF(COUNTA(L153:N153)=0, "", IF(COUNTIF(L153:N153, "Đã có (Đạt chuẩn)")=3, "ĐỦ 3 LEVEL DASHBOARD", IF(COUNTIF(L153:N153, "Chưa có")=3, "CHƯA CÓ DASHBOARD", "THIẾU DASHBOARD (" &amp; COUNTIF(L153:N153, "Đã có (Đạt chuẩn)") &amp; "/3)")))</f>
        <v/>
      </c>
      <c r="P153" s="25" t="n"/>
      <c r="Q153" s="25" t="n"/>
      <c r="R153" s="44">
        <f>IF(C153="", "", IF(P153="Đẩy thẳng Kafka / ES (Vi phạm BLOCKER)", "VI PHẠM (BLOCKER)", IF(AND(K153="ĐỦ 3 TRỤC (100%)", O153="ĐỦ 3 LEVEL DASHBOARD", P153="Qua OTel Collector (Đúng chuẩn)"), "ĐẠT CHUẨN QG2 (PASS)", IF(AND(K153="CHƯA GẮN (0%)", O153="CHƯA CÓ DASHBOARD"), "CHƯA TRIỂN KHAI", "ĐANG HOÀN THIỆN (PENDING)"))))</f>
        <v/>
      </c>
      <c r="S153" s="24" t="n"/>
      <c r="T153" s="24" t="n"/>
      <c r="U153" s="25" t="n"/>
      <c r="V153" s="24" t="n"/>
    </row>
    <row r="154" ht="24" customHeight="1">
      <c r="A154" s="44">
        <f>IF(COUNTA(B154:C154)=0, "", COUNTA($C$6:C154))</f>
        <v/>
      </c>
      <c r="B154" s="45" t="n"/>
      <c r="C154" s="46" t="n"/>
      <c r="D154" s="47" t="n"/>
      <c r="E154" s="47" t="n"/>
      <c r="F154" s="44">
        <f>IF(E154="", "", IF(OR(E154=".NET 8 (SDK v1.5+ hỗ trợ chính thức)", E154=".NET 6 / .NET 7 (SDK v1.5+ hỗ trợ chính thức)"), "Hỗ trợ chuẩn SDK (.NET 6/7/8)", "Ngoài phạm vi SDK (Dùng OTel Native)"))</f>
        <v/>
      </c>
      <c r="G154" s="47" t="n"/>
      <c r="H154" s="47" t="n"/>
      <c r="I154" s="47" t="n"/>
      <c r="J154" s="47" t="n"/>
      <c r="K154" s="44">
        <f>IF(COUNTA(H154:J154)=0, "", IF(COUNTIF(H154:J154, "Đã hoàn thành (Đạt chuẩn)")=3, "ĐỦ 3 TRỤC (100%)", IF(COUNTIF(H154:J154, "Chưa triển khai")=3, "CHƯA GẮN (0%)", "THIẾU / CHƯA ĐẠT (" &amp; COUNTIF(H154:J154, "Đã hoàn thành (Đạt chuẩn)") &amp; "/3)")))</f>
        <v/>
      </c>
      <c r="L154" s="47" t="n"/>
      <c r="M154" s="47" t="n"/>
      <c r="N154" s="47" t="n"/>
      <c r="O154" s="44">
        <f>IF(COUNTA(L154:N154)=0, "", IF(COUNTIF(L154:N154, "Đã có (Đạt chuẩn)")=3, "ĐỦ 3 LEVEL DASHBOARD", IF(COUNTIF(L154:N154, "Chưa có")=3, "CHƯA CÓ DASHBOARD", "THIẾU DASHBOARD (" &amp; COUNTIF(L154:N154, "Đã có (Đạt chuẩn)") &amp; "/3)")))</f>
        <v/>
      </c>
      <c r="P154" s="47" t="n"/>
      <c r="Q154" s="47" t="n"/>
      <c r="R154" s="44">
        <f>IF(C154="", "", IF(P154="Đẩy thẳng Kafka / ES (Vi phạm BLOCKER)", "VI PHẠM (BLOCKER)", IF(AND(K154="ĐỦ 3 TRỤC (100%)", O154="ĐỦ 3 LEVEL DASHBOARD", P154="Qua OTel Collector (Đúng chuẩn)"), "ĐẠT CHUẨN QG2 (PASS)", IF(AND(K154="CHƯA GẮN (0%)", O154="CHƯA CÓ DASHBOARD"), "CHƯA TRIỂN KHAI", "ĐANG HOÀN THIỆN (PENDING)"))))</f>
        <v/>
      </c>
      <c r="S154" s="45" t="n"/>
      <c r="T154" s="45" t="n"/>
      <c r="U154" s="47" t="n"/>
      <c r="V154" s="45" t="n"/>
    </row>
    <row r="155" ht="24" customHeight="1">
      <c r="A155" s="44">
        <f>IF(COUNTA(B155:C155)=0, "", COUNTA($C$6:C155))</f>
        <v/>
      </c>
      <c r="B155" s="24" t="n"/>
      <c r="C155" s="48" t="n"/>
      <c r="D155" s="25" t="n"/>
      <c r="E155" s="25" t="n"/>
      <c r="F155" s="44">
        <f>IF(E155="", "", IF(OR(E155=".NET 8 (SDK v1.5+ hỗ trợ chính thức)", E155=".NET 6 / .NET 7 (SDK v1.5+ hỗ trợ chính thức)"), "Hỗ trợ chuẩn SDK (.NET 6/7/8)", "Ngoài phạm vi SDK (Dùng OTel Native)"))</f>
        <v/>
      </c>
      <c r="G155" s="25" t="n"/>
      <c r="H155" s="25" t="n"/>
      <c r="I155" s="25" t="n"/>
      <c r="J155" s="25" t="n"/>
      <c r="K155" s="44">
        <f>IF(COUNTA(H155:J155)=0, "", IF(COUNTIF(H155:J155, "Đã hoàn thành (Đạt chuẩn)")=3, "ĐỦ 3 TRỤC (100%)", IF(COUNTIF(H155:J155, "Chưa triển khai")=3, "CHƯA GẮN (0%)", "THIẾU / CHƯA ĐẠT (" &amp; COUNTIF(H155:J155, "Đã hoàn thành (Đạt chuẩn)") &amp; "/3)")))</f>
        <v/>
      </c>
      <c r="L155" s="25" t="n"/>
      <c r="M155" s="25" t="n"/>
      <c r="N155" s="25" t="n"/>
      <c r="O155" s="44">
        <f>IF(COUNTA(L155:N155)=0, "", IF(COUNTIF(L155:N155, "Đã có (Đạt chuẩn)")=3, "ĐỦ 3 LEVEL DASHBOARD", IF(COUNTIF(L155:N155, "Chưa có")=3, "CHƯA CÓ DASHBOARD", "THIẾU DASHBOARD (" &amp; COUNTIF(L155:N155, "Đã có (Đạt chuẩn)") &amp; "/3)")))</f>
        <v/>
      </c>
      <c r="P155" s="25" t="n"/>
      <c r="Q155" s="25" t="n"/>
      <c r="R155" s="44">
        <f>IF(C155="", "", IF(P155="Đẩy thẳng Kafka / ES (Vi phạm BLOCKER)", "VI PHẠM (BLOCKER)", IF(AND(K155="ĐỦ 3 TRỤC (100%)", O155="ĐỦ 3 LEVEL DASHBOARD", P155="Qua OTel Collector (Đúng chuẩn)"), "ĐẠT CHUẨN QG2 (PASS)", IF(AND(K155="CHƯA GẮN (0%)", O155="CHƯA CÓ DASHBOARD"), "CHƯA TRIỂN KHAI", "ĐANG HOÀN THIỆN (PENDING)"))))</f>
        <v/>
      </c>
      <c r="S155" s="24" t="n"/>
      <c r="T155" s="24" t="n"/>
      <c r="U155" s="25" t="n"/>
      <c r="V155" s="24" t="n"/>
    </row>
    <row r="156" ht="24" customHeight="1">
      <c r="A156" s="44">
        <f>IF(COUNTA(B156:C156)=0, "", COUNTA($C$6:C156))</f>
        <v/>
      </c>
      <c r="B156" s="45" t="n"/>
      <c r="C156" s="46" t="n"/>
      <c r="D156" s="47" t="n"/>
      <c r="E156" s="47" t="n"/>
      <c r="F156" s="44">
        <f>IF(E156="", "", IF(OR(E156=".NET 8 (SDK v1.5+ hỗ trợ chính thức)", E156=".NET 6 / .NET 7 (SDK v1.5+ hỗ trợ chính thức)"), "Hỗ trợ chuẩn SDK (.NET 6/7/8)", "Ngoài phạm vi SDK (Dùng OTel Native)"))</f>
        <v/>
      </c>
      <c r="G156" s="47" t="n"/>
      <c r="H156" s="47" t="n"/>
      <c r="I156" s="47" t="n"/>
      <c r="J156" s="47" t="n"/>
      <c r="K156" s="44">
        <f>IF(COUNTA(H156:J156)=0, "", IF(COUNTIF(H156:J156, "Đã hoàn thành (Đạt chuẩn)")=3, "ĐỦ 3 TRỤC (100%)", IF(COUNTIF(H156:J156, "Chưa triển khai")=3, "CHƯA GẮN (0%)", "THIẾU / CHƯA ĐẠT (" &amp; COUNTIF(H156:J156, "Đã hoàn thành (Đạt chuẩn)") &amp; "/3)")))</f>
        <v/>
      </c>
      <c r="L156" s="47" t="n"/>
      <c r="M156" s="47" t="n"/>
      <c r="N156" s="47" t="n"/>
      <c r="O156" s="44">
        <f>IF(COUNTA(L156:N156)=0, "", IF(COUNTIF(L156:N156, "Đã có (Đạt chuẩn)")=3, "ĐỦ 3 LEVEL DASHBOARD", IF(COUNTIF(L156:N156, "Chưa có")=3, "CHƯA CÓ DASHBOARD", "THIẾU DASHBOARD (" &amp; COUNTIF(L156:N156, "Đã có (Đạt chuẩn)") &amp; "/3)")))</f>
        <v/>
      </c>
      <c r="P156" s="47" t="n"/>
      <c r="Q156" s="47" t="n"/>
      <c r="R156" s="44">
        <f>IF(C156="", "", IF(P156="Đẩy thẳng Kafka / ES (Vi phạm BLOCKER)", "VI PHẠM (BLOCKER)", IF(AND(K156="ĐỦ 3 TRỤC (100%)", O156="ĐỦ 3 LEVEL DASHBOARD", P156="Qua OTel Collector (Đúng chuẩn)"), "ĐẠT CHUẨN QG2 (PASS)", IF(AND(K156="CHƯA GẮN (0%)", O156="CHƯA CÓ DASHBOARD"), "CHƯA TRIỂN KHAI", "ĐANG HOÀN THIỆN (PENDING)"))))</f>
        <v/>
      </c>
      <c r="S156" s="45" t="n"/>
      <c r="T156" s="45" t="n"/>
      <c r="U156" s="47" t="n"/>
      <c r="V156" s="45" t="n"/>
    </row>
    <row r="157" ht="24" customHeight="1">
      <c r="A157" s="44">
        <f>IF(COUNTA(B157:C157)=0, "", COUNTA($C$6:C157))</f>
        <v/>
      </c>
      <c r="B157" s="24" t="n"/>
      <c r="C157" s="48" t="n"/>
      <c r="D157" s="25" t="n"/>
      <c r="E157" s="25" t="n"/>
      <c r="F157" s="44">
        <f>IF(E157="", "", IF(OR(E157=".NET 8 (SDK v1.5+ hỗ trợ chính thức)", E157=".NET 6 / .NET 7 (SDK v1.5+ hỗ trợ chính thức)"), "Hỗ trợ chuẩn SDK (.NET 6/7/8)", "Ngoài phạm vi SDK (Dùng OTel Native)"))</f>
        <v/>
      </c>
      <c r="G157" s="25" t="n"/>
      <c r="H157" s="25" t="n"/>
      <c r="I157" s="25" t="n"/>
      <c r="J157" s="25" t="n"/>
      <c r="K157" s="44">
        <f>IF(COUNTA(H157:J157)=0, "", IF(COUNTIF(H157:J157, "Đã hoàn thành (Đạt chuẩn)")=3, "ĐỦ 3 TRỤC (100%)", IF(COUNTIF(H157:J157, "Chưa triển khai")=3, "CHƯA GẮN (0%)", "THIẾU / CHƯA ĐẠT (" &amp; COUNTIF(H157:J157, "Đã hoàn thành (Đạt chuẩn)") &amp; "/3)")))</f>
        <v/>
      </c>
      <c r="L157" s="25" t="n"/>
      <c r="M157" s="25" t="n"/>
      <c r="N157" s="25" t="n"/>
      <c r="O157" s="44">
        <f>IF(COUNTA(L157:N157)=0, "", IF(COUNTIF(L157:N157, "Đã có (Đạt chuẩn)")=3, "ĐỦ 3 LEVEL DASHBOARD", IF(COUNTIF(L157:N157, "Chưa có")=3, "CHƯA CÓ DASHBOARD", "THIẾU DASHBOARD (" &amp; COUNTIF(L157:N157, "Đã có (Đạt chuẩn)") &amp; "/3)")))</f>
        <v/>
      </c>
      <c r="P157" s="25" t="n"/>
      <c r="Q157" s="25" t="n"/>
      <c r="R157" s="44">
        <f>IF(C157="", "", IF(P157="Đẩy thẳng Kafka / ES (Vi phạm BLOCKER)", "VI PHẠM (BLOCKER)", IF(AND(K157="ĐỦ 3 TRỤC (100%)", O157="ĐỦ 3 LEVEL DASHBOARD", P157="Qua OTel Collector (Đúng chuẩn)"), "ĐẠT CHUẨN QG2 (PASS)", IF(AND(K157="CHƯA GẮN (0%)", O157="CHƯA CÓ DASHBOARD"), "CHƯA TRIỂN KHAI", "ĐANG HOÀN THIỆN (PENDING)"))))</f>
        <v/>
      </c>
      <c r="S157" s="24" t="n"/>
      <c r="T157" s="24" t="n"/>
      <c r="U157" s="25" t="n"/>
      <c r="V157" s="24" t="n"/>
    </row>
    <row r="158" ht="24" customHeight="1">
      <c r="A158" s="44">
        <f>IF(COUNTA(B158:C158)=0, "", COUNTA($C$6:C158))</f>
        <v/>
      </c>
      <c r="B158" s="45" t="n"/>
      <c r="C158" s="46" t="n"/>
      <c r="D158" s="47" t="n"/>
      <c r="E158" s="47" t="n"/>
      <c r="F158" s="44">
        <f>IF(E158="", "", IF(OR(E158=".NET 8 (SDK v1.5+ hỗ trợ chính thức)", E158=".NET 6 / .NET 7 (SDK v1.5+ hỗ trợ chính thức)"), "Hỗ trợ chuẩn SDK (.NET 6/7/8)", "Ngoài phạm vi SDK (Dùng OTel Native)"))</f>
        <v/>
      </c>
      <c r="G158" s="47" t="n"/>
      <c r="H158" s="47" t="n"/>
      <c r="I158" s="47" t="n"/>
      <c r="J158" s="47" t="n"/>
      <c r="K158" s="44">
        <f>IF(COUNTA(H158:J158)=0, "", IF(COUNTIF(H158:J158, "Đã hoàn thành (Đạt chuẩn)")=3, "ĐỦ 3 TRỤC (100%)", IF(COUNTIF(H158:J158, "Chưa triển khai")=3, "CHƯA GẮN (0%)", "THIẾU / CHƯA ĐẠT (" &amp; COUNTIF(H158:J158, "Đã hoàn thành (Đạt chuẩn)") &amp; "/3)")))</f>
        <v/>
      </c>
      <c r="L158" s="47" t="n"/>
      <c r="M158" s="47" t="n"/>
      <c r="N158" s="47" t="n"/>
      <c r="O158" s="44">
        <f>IF(COUNTA(L158:N158)=0, "", IF(COUNTIF(L158:N158, "Đã có (Đạt chuẩn)")=3, "ĐỦ 3 LEVEL DASHBOARD", IF(COUNTIF(L158:N158, "Chưa có")=3, "CHƯA CÓ DASHBOARD", "THIẾU DASHBOARD (" &amp; COUNTIF(L158:N158, "Đã có (Đạt chuẩn)") &amp; "/3)")))</f>
        <v/>
      </c>
      <c r="P158" s="47" t="n"/>
      <c r="Q158" s="47" t="n"/>
      <c r="R158" s="44">
        <f>IF(C158="", "", IF(P158="Đẩy thẳng Kafka / ES (Vi phạm BLOCKER)", "VI PHẠM (BLOCKER)", IF(AND(K158="ĐỦ 3 TRỤC (100%)", O158="ĐỦ 3 LEVEL DASHBOARD", P158="Qua OTel Collector (Đúng chuẩn)"), "ĐẠT CHUẨN QG2 (PASS)", IF(AND(K158="CHƯA GẮN (0%)", O158="CHƯA CÓ DASHBOARD"), "CHƯA TRIỂN KHAI", "ĐANG HOÀN THIỆN (PENDING)"))))</f>
        <v/>
      </c>
      <c r="S158" s="45" t="n"/>
      <c r="T158" s="45" t="n"/>
      <c r="U158" s="47" t="n"/>
      <c r="V158" s="45" t="n"/>
    </row>
    <row r="159" ht="24" customHeight="1">
      <c r="A159" s="44">
        <f>IF(COUNTA(B159:C159)=0, "", COUNTA($C$6:C159))</f>
        <v/>
      </c>
      <c r="B159" s="24" t="n"/>
      <c r="C159" s="48" t="n"/>
      <c r="D159" s="25" t="n"/>
      <c r="E159" s="25" t="n"/>
      <c r="F159" s="44">
        <f>IF(E159="", "", IF(OR(E159=".NET 8 (SDK v1.5+ hỗ trợ chính thức)", E159=".NET 6 / .NET 7 (SDK v1.5+ hỗ trợ chính thức)"), "Hỗ trợ chuẩn SDK (.NET 6/7/8)", "Ngoài phạm vi SDK (Dùng OTel Native)"))</f>
        <v/>
      </c>
      <c r="G159" s="25" t="n"/>
      <c r="H159" s="25" t="n"/>
      <c r="I159" s="25" t="n"/>
      <c r="J159" s="25" t="n"/>
      <c r="K159" s="44">
        <f>IF(COUNTA(H159:J159)=0, "", IF(COUNTIF(H159:J159, "Đã hoàn thành (Đạt chuẩn)")=3, "ĐỦ 3 TRỤC (100%)", IF(COUNTIF(H159:J159, "Chưa triển khai")=3, "CHƯA GẮN (0%)", "THIẾU / CHƯA ĐẠT (" &amp; COUNTIF(H159:J159, "Đã hoàn thành (Đạt chuẩn)") &amp; "/3)")))</f>
        <v/>
      </c>
      <c r="L159" s="25" t="n"/>
      <c r="M159" s="25" t="n"/>
      <c r="N159" s="25" t="n"/>
      <c r="O159" s="44">
        <f>IF(COUNTA(L159:N159)=0, "", IF(COUNTIF(L159:N159, "Đã có (Đạt chuẩn)")=3, "ĐỦ 3 LEVEL DASHBOARD", IF(COUNTIF(L159:N159, "Chưa có")=3, "CHƯA CÓ DASHBOARD", "THIẾU DASHBOARD (" &amp; COUNTIF(L159:N159, "Đã có (Đạt chuẩn)") &amp; "/3)")))</f>
        <v/>
      </c>
      <c r="P159" s="25" t="n"/>
      <c r="Q159" s="25" t="n"/>
      <c r="R159" s="44">
        <f>IF(C159="", "", IF(P159="Đẩy thẳng Kafka / ES (Vi phạm BLOCKER)", "VI PHẠM (BLOCKER)", IF(AND(K159="ĐỦ 3 TRỤC (100%)", O159="ĐỦ 3 LEVEL DASHBOARD", P159="Qua OTel Collector (Đúng chuẩn)"), "ĐẠT CHUẨN QG2 (PASS)", IF(AND(K159="CHƯA GẮN (0%)", O159="CHƯA CÓ DASHBOARD"), "CHƯA TRIỂN KHAI", "ĐANG HOÀN THIỆN (PENDING)"))))</f>
        <v/>
      </c>
      <c r="S159" s="24" t="n"/>
      <c r="T159" s="24" t="n"/>
      <c r="U159" s="25" t="n"/>
      <c r="V159" s="24" t="n"/>
    </row>
    <row r="160" ht="24" customHeight="1">
      <c r="A160" s="44">
        <f>IF(COUNTA(B160:C160)=0, "", COUNTA($C$6:C160))</f>
        <v/>
      </c>
      <c r="B160" s="45" t="n"/>
      <c r="C160" s="46" t="n"/>
      <c r="D160" s="47" t="n"/>
      <c r="E160" s="47" t="n"/>
      <c r="F160" s="44">
        <f>IF(E160="", "", IF(OR(E160=".NET 8 (SDK v1.5+ hỗ trợ chính thức)", E160=".NET 6 / .NET 7 (SDK v1.5+ hỗ trợ chính thức)"), "Hỗ trợ chuẩn SDK (.NET 6/7/8)", "Ngoài phạm vi SDK (Dùng OTel Native)"))</f>
        <v/>
      </c>
      <c r="G160" s="47" t="n"/>
      <c r="H160" s="47" t="n"/>
      <c r="I160" s="47" t="n"/>
      <c r="J160" s="47" t="n"/>
      <c r="K160" s="44">
        <f>IF(COUNTA(H160:J160)=0, "", IF(COUNTIF(H160:J160, "Đã hoàn thành (Đạt chuẩn)")=3, "ĐỦ 3 TRỤC (100%)", IF(COUNTIF(H160:J160, "Chưa triển khai")=3, "CHƯA GẮN (0%)", "THIẾU / CHƯA ĐẠT (" &amp; COUNTIF(H160:J160, "Đã hoàn thành (Đạt chuẩn)") &amp; "/3)")))</f>
        <v/>
      </c>
      <c r="L160" s="47" t="n"/>
      <c r="M160" s="47" t="n"/>
      <c r="N160" s="47" t="n"/>
      <c r="O160" s="44">
        <f>IF(COUNTA(L160:N160)=0, "", IF(COUNTIF(L160:N160, "Đã có (Đạt chuẩn)")=3, "ĐỦ 3 LEVEL DASHBOARD", IF(COUNTIF(L160:N160, "Chưa có")=3, "CHƯA CÓ DASHBOARD", "THIẾU DASHBOARD (" &amp; COUNTIF(L160:N160, "Đã có (Đạt chuẩn)") &amp; "/3)")))</f>
        <v/>
      </c>
      <c r="P160" s="47" t="n"/>
      <c r="Q160" s="47" t="n"/>
      <c r="R160" s="44">
        <f>IF(C160="", "", IF(P160="Đẩy thẳng Kafka / ES (Vi phạm BLOCKER)", "VI PHẠM (BLOCKER)", IF(AND(K160="ĐỦ 3 TRỤC (100%)", O160="ĐỦ 3 LEVEL DASHBOARD", P160="Qua OTel Collector (Đúng chuẩn)"), "ĐẠT CHUẨN QG2 (PASS)", IF(AND(K160="CHƯA GẮN (0%)", O160="CHƯA CÓ DASHBOARD"), "CHƯA TRIỂN KHAI", "ĐANG HOÀN THIỆN (PENDING)"))))</f>
        <v/>
      </c>
      <c r="S160" s="45" t="n"/>
      <c r="T160" s="45" t="n"/>
      <c r="U160" s="47" t="n"/>
      <c r="V160" s="45" t="n"/>
    </row>
    <row r="161" ht="24" customHeight="1">
      <c r="A161" s="44">
        <f>IF(COUNTA(B161:C161)=0, "", COUNTA($C$6:C161))</f>
        <v/>
      </c>
      <c r="B161" s="24" t="n"/>
      <c r="C161" s="48" t="n"/>
      <c r="D161" s="25" t="n"/>
      <c r="E161" s="25" t="n"/>
      <c r="F161" s="44">
        <f>IF(E161="", "", IF(OR(E161=".NET 8 (SDK v1.5+ hỗ trợ chính thức)", E161=".NET 6 / .NET 7 (SDK v1.5+ hỗ trợ chính thức)"), "Hỗ trợ chuẩn SDK (.NET 6/7/8)", "Ngoài phạm vi SDK (Dùng OTel Native)"))</f>
        <v/>
      </c>
      <c r="G161" s="25" t="n"/>
      <c r="H161" s="25" t="n"/>
      <c r="I161" s="25" t="n"/>
      <c r="J161" s="25" t="n"/>
      <c r="K161" s="44">
        <f>IF(COUNTA(H161:J161)=0, "", IF(COUNTIF(H161:J161, "Đã hoàn thành (Đạt chuẩn)")=3, "ĐỦ 3 TRỤC (100%)", IF(COUNTIF(H161:J161, "Chưa triển khai")=3, "CHƯA GẮN (0%)", "THIẾU / CHƯA ĐẠT (" &amp; COUNTIF(H161:J161, "Đã hoàn thành (Đạt chuẩn)") &amp; "/3)")))</f>
        <v/>
      </c>
      <c r="L161" s="25" t="n"/>
      <c r="M161" s="25" t="n"/>
      <c r="N161" s="25" t="n"/>
      <c r="O161" s="44">
        <f>IF(COUNTA(L161:N161)=0, "", IF(COUNTIF(L161:N161, "Đã có (Đạt chuẩn)")=3, "ĐỦ 3 LEVEL DASHBOARD", IF(COUNTIF(L161:N161, "Chưa có")=3, "CHƯA CÓ DASHBOARD", "THIẾU DASHBOARD (" &amp; COUNTIF(L161:N161, "Đã có (Đạt chuẩn)") &amp; "/3)")))</f>
        <v/>
      </c>
      <c r="P161" s="25" t="n"/>
      <c r="Q161" s="25" t="n"/>
      <c r="R161" s="44">
        <f>IF(C161="", "", IF(P161="Đẩy thẳng Kafka / ES (Vi phạm BLOCKER)", "VI PHẠM (BLOCKER)", IF(AND(K161="ĐỦ 3 TRỤC (100%)", O161="ĐỦ 3 LEVEL DASHBOARD", P161="Qua OTel Collector (Đúng chuẩn)"), "ĐẠT CHUẨN QG2 (PASS)", IF(AND(K161="CHƯA GẮN (0%)", O161="CHƯA CÓ DASHBOARD"), "CHƯA TRIỂN KHAI", "ĐANG HOÀN THIỆN (PENDING)"))))</f>
        <v/>
      </c>
      <c r="S161" s="24" t="n"/>
      <c r="T161" s="24" t="n"/>
      <c r="U161" s="25" t="n"/>
      <c r="V161" s="24" t="n"/>
    </row>
    <row r="162" ht="24" customHeight="1">
      <c r="A162" s="44">
        <f>IF(COUNTA(B162:C162)=0, "", COUNTA($C$6:C162))</f>
        <v/>
      </c>
      <c r="B162" s="45" t="n"/>
      <c r="C162" s="46" t="n"/>
      <c r="D162" s="47" t="n"/>
      <c r="E162" s="47" t="n"/>
      <c r="F162" s="44">
        <f>IF(E162="", "", IF(OR(E162=".NET 8 (SDK v1.5+ hỗ trợ chính thức)", E162=".NET 6 / .NET 7 (SDK v1.5+ hỗ trợ chính thức)"), "Hỗ trợ chuẩn SDK (.NET 6/7/8)", "Ngoài phạm vi SDK (Dùng OTel Native)"))</f>
        <v/>
      </c>
      <c r="G162" s="47" t="n"/>
      <c r="H162" s="47" t="n"/>
      <c r="I162" s="47" t="n"/>
      <c r="J162" s="47" t="n"/>
      <c r="K162" s="44">
        <f>IF(COUNTA(H162:J162)=0, "", IF(COUNTIF(H162:J162, "Đã hoàn thành (Đạt chuẩn)")=3, "ĐỦ 3 TRỤC (100%)", IF(COUNTIF(H162:J162, "Chưa triển khai")=3, "CHƯA GẮN (0%)", "THIẾU / CHƯA ĐẠT (" &amp; COUNTIF(H162:J162, "Đã hoàn thành (Đạt chuẩn)") &amp; "/3)")))</f>
        <v/>
      </c>
      <c r="L162" s="47" t="n"/>
      <c r="M162" s="47" t="n"/>
      <c r="N162" s="47" t="n"/>
      <c r="O162" s="44">
        <f>IF(COUNTA(L162:N162)=0, "", IF(COUNTIF(L162:N162, "Đã có (Đạt chuẩn)")=3, "ĐỦ 3 LEVEL DASHBOARD", IF(COUNTIF(L162:N162, "Chưa có")=3, "CHƯA CÓ DASHBOARD", "THIẾU DASHBOARD (" &amp; COUNTIF(L162:N162, "Đã có (Đạt chuẩn)") &amp; "/3)")))</f>
        <v/>
      </c>
      <c r="P162" s="47" t="n"/>
      <c r="Q162" s="47" t="n"/>
      <c r="R162" s="44">
        <f>IF(C162="", "", IF(P162="Đẩy thẳng Kafka / ES (Vi phạm BLOCKER)", "VI PHẠM (BLOCKER)", IF(AND(K162="ĐỦ 3 TRỤC (100%)", O162="ĐỦ 3 LEVEL DASHBOARD", P162="Qua OTel Collector (Đúng chuẩn)"), "ĐẠT CHUẨN QG2 (PASS)", IF(AND(K162="CHƯA GẮN (0%)", O162="CHƯA CÓ DASHBOARD"), "CHƯA TRIỂN KHAI", "ĐANG HOÀN THIỆN (PENDING)"))))</f>
        <v/>
      </c>
      <c r="S162" s="45" t="n"/>
      <c r="T162" s="45" t="n"/>
      <c r="U162" s="47" t="n"/>
      <c r="V162" s="45" t="n"/>
    </row>
    <row r="163" ht="24" customHeight="1">
      <c r="A163" s="44">
        <f>IF(COUNTA(B163:C163)=0, "", COUNTA($C$6:C163))</f>
        <v/>
      </c>
      <c r="B163" s="24" t="n"/>
      <c r="C163" s="48" t="n"/>
      <c r="D163" s="25" t="n"/>
      <c r="E163" s="25" t="n"/>
      <c r="F163" s="44">
        <f>IF(E163="", "", IF(OR(E163=".NET 8 (SDK v1.5+ hỗ trợ chính thức)", E163=".NET 6 / .NET 7 (SDK v1.5+ hỗ trợ chính thức)"), "Hỗ trợ chuẩn SDK (.NET 6/7/8)", "Ngoài phạm vi SDK (Dùng OTel Native)"))</f>
        <v/>
      </c>
      <c r="G163" s="25" t="n"/>
      <c r="H163" s="25" t="n"/>
      <c r="I163" s="25" t="n"/>
      <c r="J163" s="25" t="n"/>
      <c r="K163" s="44">
        <f>IF(COUNTA(H163:J163)=0, "", IF(COUNTIF(H163:J163, "Đã hoàn thành (Đạt chuẩn)")=3, "ĐỦ 3 TRỤC (100%)", IF(COUNTIF(H163:J163, "Chưa triển khai")=3, "CHƯA GẮN (0%)", "THIẾU / CHƯA ĐẠT (" &amp; COUNTIF(H163:J163, "Đã hoàn thành (Đạt chuẩn)") &amp; "/3)")))</f>
        <v/>
      </c>
      <c r="L163" s="25" t="n"/>
      <c r="M163" s="25" t="n"/>
      <c r="N163" s="25" t="n"/>
      <c r="O163" s="44">
        <f>IF(COUNTA(L163:N163)=0, "", IF(COUNTIF(L163:N163, "Đã có (Đạt chuẩn)")=3, "ĐỦ 3 LEVEL DASHBOARD", IF(COUNTIF(L163:N163, "Chưa có")=3, "CHƯA CÓ DASHBOARD", "THIẾU DASHBOARD (" &amp; COUNTIF(L163:N163, "Đã có (Đạt chuẩn)") &amp; "/3)")))</f>
        <v/>
      </c>
      <c r="P163" s="25" t="n"/>
      <c r="Q163" s="25" t="n"/>
      <c r="R163" s="44">
        <f>IF(C163="", "", IF(P163="Đẩy thẳng Kafka / ES (Vi phạm BLOCKER)", "VI PHẠM (BLOCKER)", IF(AND(K163="ĐỦ 3 TRỤC (100%)", O163="ĐỦ 3 LEVEL DASHBOARD", P163="Qua OTel Collector (Đúng chuẩn)"), "ĐẠT CHUẨN QG2 (PASS)", IF(AND(K163="CHƯA GẮN (0%)", O163="CHƯA CÓ DASHBOARD"), "CHƯA TRIỂN KHAI", "ĐANG HOÀN THIỆN (PENDING)"))))</f>
        <v/>
      </c>
      <c r="S163" s="24" t="n"/>
      <c r="T163" s="24" t="n"/>
      <c r="U163" s="25" t="n"/>
      <c r="V163" s="24" t="n"/>
    </row>
    <row r="164" ht="24" customHeight="1">
      <c r="A164" s="44">
        <f>IF(COUNTA(B164:C164)=0, "", COUNTA($C$6:C164))</f>
        <v/>
      </c>
      <c r="B164" s="45" t="n"/>
      <c r="C164" s="46" t="n"/>
      <c r="D164" s="47" t="n"/>
      <c r="E164" s="47" t="n"/>
      <c r="F164" s="44">
        <f>IF(E164="", "", IF(OR(E164=".NET 8 (SDK v1.5+ hỗ trợ chính thức)", E164=".NET 6 / .NET 7 (SDK v1.5+ hỗ trợ chính thức)"), "Hỗ trợ chuẩn SDK (.NET 6/7/8)", "Ngoài phạm vi SDK (Dùng OTel Native)"))</f>
        <v/>
      </c>
      <c r="G164" s="47" t="n"/>
      <c r="H164" s="47" t="n"/>
      <c r="I164" s="47" t="n"/>
      <c r="J164" s="47" t="n"/>
      <c r="K164" s="44">
        <f>IF(COUNTA(H164:J164)=0, "", IF(COUNTIF(H164:J164, "Đã hoàn thành (Đạt chuẩn)")=3, "ĐỦ 3 TRỤC (100%)", IF(COUNTIF(H164:J164, "Chưa triển khai")=3, "CHƯA GẮN (0%)", "THIẾU / CHƯA ĐẠT (" &amp; COUNTIF(H164:J164, "Đã hoàn thành (Đạt chuẩn)") &amp; "/3)")))</f>
        <v/>
      </c>
      <c r="L164" s="47" t="n"/>
      <c r="M164" s="47" t="n"/>
      <c r="N164" s="47" t="n"/>
      <c r="O164" s="44">
        <f>IF(COUNTA(L164:N164)=0, "", IF(COUNTIF(L164:N164, "Đã có (Đạt chuẩn)")=3, "ĐỦ 3 LEVEL DASHBOARD", IF(COUNTIF(L164:N164, "Chưa có")=3, "CHƯA CÓ DASHBOARD", "THIẾU DASHBOARD (" &amp; COUNTIF(L164:N164, "Đã có (Đạt chuẩn)") &amp; "/3)")))</f>
        <v/>
      </c>
      <c r="P164" s="47" t="n"/>
      <c r="Q164" s="47" t="n"/>
      <c r="R164" s="44">
        <f>IF(C164="", "", IF(P164="Đẩy thẳng Kafka / ES (Vi phạm BLOCKER)", "VI PHẠM (BLOCKER)", IF(AND(K164="ĐỦ 3 TRỤC (100%)", O164="ĐỦ 3 LEVEL DASHBOARD", P164="Qua OTel Collector (Đúng chuẩn)"), "ĐẠT CHUẨN QG2 (PASS)", IF(AND(K164="CHƯA GẮN (0%)", O164="CHƯA CÓ DASHBOARD"), "CHƯA TRIỂN KHAI", "ĐANG HOÀN THIỆN (PENDING)"))))</f>
        <v/>
      </c>
      <c r="S164" s="45" t="n"/>
      <c r="T164" s="45" t="n"/>
      <c r="U164" s="47" t="n"/>
      <c r="V164" s="45" t="n"/>
    </row>
    <row r="165" ht="24" customHeight="1">
      <c r="A165" s="44">
        <f>IF(COUNTA(B165:C165)=0, "", COUNTA($C$6:C165))</f>
        <v/>
      </c>
      <c r="B165" s="24" t="n"/>
      <c r="C165" s="48" t="n"/>
      <c r="D165" s="25" t="n"/>
      <c r="E165" s="25" t="n"/>
      <c r="F165" s="44">
        <f>IF(E165="", "", IF(OR(E165=".NET 8 (SDK v1.5+ hỗ trợ chính thức)", E165=".NET 6 / .NET 7 (SDK v1.5+ hỗ trợ chính thức)"), "Hỗ trợ chuẩn SDK (.NET 6/7/8)", "Ngoài phạm vi SDK (Dùng OTel Native)"))</f>
        <v/>
      </c>
      <c r="G165" s="25" t="n"/>
      <c r="H165" s="25" t="n"/>
      <c r="I165" s="25" t="n"/>
      <c r="J165" s="25" t="n"/>
      <c r="K165" s="44">
        <f>IF(COUNTA(H165:J165)=0, "", IF(COUNTIF(H165:J165, "Đã hoàn thành (Đạt chuẩn)")=3, "ĐỦ 3 TRỤC (100%)", IF(COUNTIF(H165:J165, "Chưa triển khai")=3, "CHƯA GẮN (0%)", "THIẾU / CHƯA ĐẠT (" &amp; COUNTIF(H165:J165, "Đã hoàn thành (Đạt chuẩn)") &amp; "/3)")))</f>
        <v/>
      </c>
      <c r="L165" s="25" t="n"/>
      <c r="M165" s="25" t="n"/>
      <c r="N165" s="25" t="n"/>
      <c r="O165" s="44">
        <f>IF(COUNTA(L165:N165)=0, "", IF(COUNTIF(L165:N165, "Đã có (Đạt chuẩn)")=3, "ĐỦ 3 LEVEL DASHBOARD", IF(COUNTIF(L165:N165, "Chưa có")=3, "CHƯA CÓ DASHBOARD", "THIẾU DASHBOARD (" &amp; COUNTIF(L165:N165, "Đã có (Đạt chuẩn)") &amp; "/3)")))</f>
        <v/>
      </c>
      <c r="P165" s="25" t="n"/>
      <c r="Q165" s="25" t="n"/>
      <c r="R165" s="44">
        <f>IF(C165="", "", IF(P165="Đẩy thẳng Kafka / ES (Vi phạm BLOCKER)", "VI PHẠM (BLOCKER)", IF(AND(K165="ĐỦ 3 TRỤC (100%)", O165="ĐỦ 3 LEVEL DASHBOARD", P165="Qua OTel Collector (Đúng chuẩn)"), "ĐẠT CHUẨN QG2 (PASS)", IF(AND(K165="CHƯA GẮN (0%)", O165="CHƯA CÓ DASHBOARD"), "CHƯA TRIỂN KHAI", "ĐANG HOÀN THIỆN (PENDING)"))))</f>
        <v/>
      </c>
      <c r="S165" s="24" t="n"/>
      <c r="T165" s="24" t="n"/>
      <c r="U165" s="25" t="n"/>
      <c r="V165" s="24" t="n"/>
    </row>
    <row r="166" ht="24" customHeight="1">
      <c r="A166" s="44">
        <f>IF(COUNTA(B166:C166)=0, "", COUNTA($C$6:C166))</f>
        <v/>
      </c>
      <c r="B166" s="45" t="n"/>
      <c r="C166" s="46" t="n"/>
      <c r="D166" s="47" t="n"/>
      <c r="E166" s="47" t="n"/>
      <c r="F166" s="44">
        <f>IF(E166="", "", IF(OR(E166=".NET 8 (SDK v1.5+ hỗ trợ chính thức)", E166=".NET 6 / .NET 7 (SDK v1.5+ hỗ trợ chính thức)"), "Hỗ trợ chuẩn SDK (.NET 6/7/8)", "Ngoài phạm vi SDK (Dùng OTel Native)"))</f>
        <v/>
      </c>
      <c r="G166" s="47" t="n"/>
      <c r="H166" s="47" t="n"/>
      <c r="I166" s="47" t="n"/>
      <c r="J166" s="47" t="n"/>
      <c r="K166" s="44">
        <f>IF(COUNTA(H166:J166)=0, "", IF(COUNTIF(H166:J166, "Đã hoàn thành (Đạt chuẩn)")=3, "ĐỦ 3 TRỤC (100%)", IF(COUNTIF(H166:J166, "Chưa triển khai")=3, "CHƯA GẮN (0%)", "THIẾU / CHƯA ĐẠT (" &amp; COUNTIF(H166:J166, "Đã hoàn thành (Đạt chuẩn)") &amp; "/3)")))</f>
        <v/>
      </c>
      <c r="L166" s="47" t="n"/>
      <c r="M166" s="47" t="n"/>
      <c r="N166" s="47" t="n"/>
      <c r="O166" s="44">
        <f>IF(COUNTA(L166:N166)=0, "", IF(COUNTIF(L166:N166, "Đã có (Đạt chuẩn)")=3, "ĐỦ 3 LEVEL DASHBOARD", IF(COUNTIF(L166:N166, "Chưa có")=3, "CHƯA CÓ DASHBOARD", "THIẾU DASHBOARD (" &amp; COUNTIF(L166:N166, "Đã có (Đạt chuẩn)") &amp; "/3)")))</f>
        <v/>
      </c>
      <c r="P166" s="47" t="n"/>
      <c r="Q166" s="47" t="n"/>
      <c r="R166" s="44">
        <f>IF(C166="", "", IF(P166="Đẩy thẳng Kafka / ES (Vi phạm BLOCKER)", "VI PHẠM (BLOCKER)", IF(AND(K166="ĐỦ 3 TRỤC (100%)", O166="ĐỦ 3 LEVEL DASHBOARD", P166="Qua OTel Collector (Đúng chuẩn)"), "ĐẠT CHUẨN QG2 (PASS)", IF(AND(K166="CHƯA GẮN (0%)", O166="CHƯA CÓ DASHBOARD"), "CHƯA TRIỂN KHAI", "ĐANG HOÀN THIỆN (PENDING)"))))</f>
        <v/>
      </c>
      <c r="S166" s="45" t="n"/>
      <c r="T166" s="45" t="n"/>
      <c r="U166" s="47" t="n"/>
      <c r="V166" s="45" t="n"/>
    </row>
    <row r="167" ht="24" customHeight="1">
      <c r="A167" s="44">
        <f>IF(COUNTA(B167:C167)=0, "", COUNTA($C$6:C167))</f>
        <v/>
      </c>
      <c r="B167" s="24" t="n"/>
      <c r="C167" s="48" t="n"/>
      <c r="D167" s="25" t="n"/>
      <c r="E167" s="25" t="n"/>
      <c r="F167" s="44">
        <f>IF(E167="", "", IF(OR(E167=".NET 8 (SDK v1.5+ hỗ trợ chính thức)", E167=".NET 6 / .NET 7 (SDK v1.5+ hỗ trợ chính thức)"), "Hỗ trợ chuẩn SDK (.NET 6/7/8)", "Ngoài phạm vi SDK (Dùng OTel Native)"))</f>
        <v/>
      </c>
      <c r="G167" s="25" t="n"/>
      <c r="H167" s="25" t="n"/>
      <c r="I167" s="25" t="n"/>
      <c r="J167" s="25" t="n"/>
      <c r="K167" s="44">
        <f>IF(COUNTA(H167:J167)=0, "", IF(COUNTIF(H167:J167, "Đã hoàn thành (Đạt chuẩn)")=3, "ĐỦ 3 TRỤC (100%)", IF(COUNTIF(H167:J167, "Chưa triển khai")=3, "CHƯA GẮN (0%)", "THIẾU / CHƯA ĐẠT (" &amp; COUNTIF(H167:J167, "Đã hoàn thành (Đạt chuẩn)") &amp; "/3)")))</f>
        <v/>
      </c>
      <c r="L167" s="25" t="n"/>
      <c r="M167" s="25" t="n"/>
      <c r="N167" s="25" t="n"/>
      <c r="O167" s="44">
        <f>IF(COUNTA(L167:N167)=0, "", IF(COUNTIF(L167:N167, "Đã có (Đạt chuẩn)")=3, "ĐỦ 3 LEVEL DASHBOARD", IF(COUNTIF(L167:N167, "Chưa có")=3, "CHƯA CÓ DASHBOARD", "THIẾU DASHBOARD (" &amp; COUNTIF(L167:N167, "Đã có (Đạt chuẩn)") &amp; "/3)")))</f>
        <v/>
      </c>
      <c r="P167" s="25" t="n"/>
      <c r="Q167" s="25" t="n"/>
      <c r="R167" s="44">
        <f>IF(C167="", "", IF(P167="Đẩy thẳng Kafka / ES (Vi phạm BLOCKER)", "VI PHẠM (BLOCKER)", IF(AND(K167="ĐỦ 3 TRỤC (100%)", O167="ĐỦ 3 LEVEL DASHBOARD", P167="Qua OTel Collector (Đúng chuẩn)"), "ĐẠT CHUẨN QG2 (PASS)", IF(AND(K167="CHƯA GẮN (0%)", O167="CHƯA CÓ DASHBOARD"), "CHƯA TRIỂN KHAI", "ĐANG HOÀN THIỆN (PENDING)"))))</f>
        <v/>
      </c>
      <c r="S167" s="24" t="n"/>
      <c r="T167" s="24" t="n"/>
      <c r="U167" s="25" t="n"/>
      <c r="V167" s="24" t="n"/>
    </row>
    <row r="168" ht="24" customHeight="1">
      <c r="A168" s="44">
        <f>IF(COUNTA(B168:C168)=0, "", COUNTA($C$6:C168))</f>
        <v/>
      </c>
      <c r="B168" s="45" t="n"/>
      <c r="C168" s="46" t="n"/>
      <c r="D168" s="47" t="n"/>
      <c r="E168" s="47" t="n"/>
      <c r="F168" s="44">
        <f>IF(E168="", "", IF(OR(E168=".NET 8 (SDK v1.5+ hỗ trợ chính thức)", E168=".NET 6 / .NET 7 (SDK v1.5+ hỗ trợ chính thức)"), "Hỗ trợ chuẩn SDK (.NET 6/7/8)", "Ngoài phạm vi SDK (Dùng OTel Native)"))</f>
        <v/>
      </c>
      <c r="G168" s="47" t="n"/>
      <c r="H168" s="47" t="n"/>
      <c r="I168" s="47" t="n"/>
      <c r="J168" s="47" t="n"/>
      <c r="K168" s="44">
        <f>IF(COUNTA(H168:J168)=0, "", IF(COUNTIF(H168:J168, "Đã hoàn thành (Đạt chuẩn)")=3, "ĐỦ 3 TRỤC (100%)", IF(COUNTIF(H168:J168, "Chưa triển khai")=3, "CHƯA GẮN (0%)", "THIẾU / CHƯA ĐẠT (" &amp; COUNTIF(H168:J168, "Đã hoàn thành (Đạt chuẩn)") &amp; "/3)")))</f>
        <v/>
      </c>
      <c r="L168" s="47" t="n"/>
      <c r="M168" s="47" t="n"/>
      <c r="N168" s="47" t="n"/>
      <c r="O168" s="44">
        <f>IF(COUNTA(L168:N168)=0, "", IF(COUNTIF(L168:N168, "Đã có (Đạt chuẩn)")=3, "ĐỦ 3 LEVEL DASHBOARD", IF(COUNTIF(L168:N168, "Chưa có")=3, "CHƯA CÓ DASHBOARD", "THIẾU DASHBOARD (" &amp; COUNTIF(L168:N168, "Đã có (Đạt chuẩn)") &amp; "/3)")))</f>
        <v/>
      </c>
      <c r="P168" s="47" t="n"/>
      <c r="Q168" s="47" t="n"/>
      <c r="R168" s="44">
        <f>IF(C168="", "", IF(P168="Đẩy thẳng Kafka / ES (Vi phạm BLOCKER)", "VI PHẠM (BLOCKER)", IF(AND(K168="ĐỦ 3 TRỤC (100%)", O168="ĐỦ 3 LEVEL DASHBOARD", P168="Qua OTel Collector (Đúng chuẩn)"), "ĐẠT CHUẨN QG2 (PASS)", IF(AND(K168="CHƯA GẮN (0%)", O168="CHƯA CÓ DASHBOARD"), "CHƯA TRIỂN KHAI", "ĐANG HOÀN THIỆN (PENDING)"))))</f>
        <v/>
      </c>
      <c r="S168" s="45" t="n"/>
      <c r="T168" s="45" t="n"/>
      <c r="U168" s="47" t="n"/>
      <c r="V168" s="45" t="n"/>
    </row>
    <row r="169" ht="24" customHeight="1">
      <c r="A169" s="44">
        <f>IF(COUNTA(B169:C169)=0, "", COUNTA($C$6:C169))</f>
        <v/>
      </c>
      <c r="B169" s="24" t="n"/>
      <c r="C169" s="48" t="n"/>
      <c r="D169" s="25" t="n"/>
      <c r="E169" s="25" t="n"/>
      <c r="F169" s="44">
        <f>IF(E169="", "", IF(OR(E169=".NET 8 (SDK v1.5+ hỗ trợ chính thức)", E169=".NET 6 / .NET 7 (SDK v1.5+ hỗ trợ chính thức)"), "Hỗ trợ chuẩn SDK (.NET 6/7/8)", "Ngoài phạm vi SDK (Dùng OTel Native)"))</f>
        <v/>
      </c>
      <c r="G169" s="25" t="n"/>
      <c r="H169" s="25" t="n"/>
      <c r="I169" s="25" t="n"/>
      <c r="J169" s="25" t="n"/>
      <c r="K169" s="44">
        <f>IF(COUNTA(H169:J169)=0, "", IF(COUNTIF(H169:J169, "Đã hoàn thành (Đạt chuẩn)")=3, "ĐỦ 3 TRỤC (100%)", IF(COUNTIF(H169:J169, "Chưa triển khai")=3, "CHƯA GẮN (0%)", "THIẾU / CHƯA ĐẠT (" &amp; COUNTIF(H169:J169, "Đã hoàn thành (Đạt chuẩn)") &amp; "/3)")))</f>
        <v/>
      </c>
      <c r="L169" s="25" t="n"/>
      <c r="M169" s="25" t="n"/>
      <c r="N169" s="25" t="n"/>
      <c r="O169" s="44">
        <f>IF(COUNTA(L169:N169)=0, "", IF(COUNTIF(L169:N169, "Đã có (Đạt chuẩn)")=3, "ĐỦ 3 LEVEL DASHBOARD", IF(COUNTIF(L169:N169, "Chưa có")=3, "CHƯA CÓ DASHBOARD", "THIẾU DASHBOARD (" &amp; COUNTIF(L169:N169, "Đã có (Đạt chuẩn)") &amp; "/3)")))</f>
        <v/>
      </c>
      <c r="P169" s="25" t="n"/>
      <c r="Q169" s="25" t="n"/>
      <c r="R169" s="44">
        <f>IF(C169="", "", IF(P169="Đẩy thẳng Kafka / ES (Vi phạm BLOCKER)", "VI PHẠM (BLOCKER)", IF(AND(K169="ĐỦ 3 TRỤC (100%)", O169="ĐỦ 3 LEVEL DASHBOARD", P169="Qua OTel Collector (Đúng chuẩn)"), "ĐẠT CHUẨN QG2 (PASS)", IF(AND(K169="CHƯA GẮN (0%)", O169="CHƯA CÓ DASHBOARD"), "CHƯA TRIỂN KHAI", "ĐANG HOÀN THIỆN (PENDING)"))))</f>
        <v/>
      </c>
      <c r="S169" s="24" t="n"/>
      <c r="T169" s="24" t="n"/>
      <c r="U169" s="25" t="n"/>
      <c r="V169" s="24" t="n"/>
    </row>
    <row r="170" ht="24" customHeight="1">
      <c r="A170" s="44">
        <f>IF(COUNTA(B170:C170)=0, "", COUNTA($C$6:C170))</f>
        <v/>
      </c>
      <c r="B170" s="45" t="n"/>
      <c r="C170" s="46" t="n"/>
      <c r="D170" s="47" t="n"/>
      <c r="E170" s="47" t="n"/>
      <c r="F170" s="44">
        <f>IF(E170="", "", IF(OR(E170=".NET 8 (SDK v1.5+ hỗ trợ chính thức)", E170=".NET 6 / .NET 7 (SDK v1.5+ hỗ trợ chính thức)"), "Hỗ trợ chuẩn SDK (.NET 6/7/8)", "Ngoài phạm vi SDK (Dùng OTel Native)"))</f>
        <v/>
      </c>
      <c r="G170" s="47" t="n"/>
      <c r="H170" s="47" t="n"/>
      <c r="I170" s="47" t="n"/>
      <c r="J170" s="47" t="n"/>
      <c r="K170" s="44">
        <f>IF(COUNTA(H170:J170)=0, "", IF(COUNTIF(H170:J170, "Đã hoàn thành (Đạt chuẩn)")=3, "ĐỦ 3 TRỤC (100%)", IF(COUNTIF(H170:J170, "Chưa triển khai")=3, "CHƯA GẮN (0%)", "THIẾU / CHƯA ĐẠT (" &amp; COUNTIF(H170:J170, "Đã hoàn thành (Đạt chuẩn)") &amp; "/3)")))</f>
        <v/>
      </c>
      <c r="L170" s="47" t="n"/>
      <c r="M170" s="47" t="n"/>
      <c r="N170" s="47" t="n"/>
      <c r="O170" s="44">
        <f>IF(COUNTA(L170:N170)=0, "", IF(COUNTIF(L170:N170, "Đã có (Đạt chuẩn)")=3, "ĐỦ 3 LEVEL DASHBOARD", IF(COUNTIF(L170:N170, "Chưa có")=3, "CHƯA CÓ DASHBOARD", "THIẾU DASHBOARD (" &amp; COUNTIF(L170:N170, "Đã có (Đạt chuẩn)") &amp; "/3)")))</f>
        <v/>
      </c>
      <c r="P170" s="47" t="n"/>
      <c r="Q170" s="47" t="n"/>
      <c r="R170" s="44">
        <f>IF(C170="", "", IF(P170="Đẩy thẳng Kafka / ES (Vi phạm BLOCKER)", "VI PHẠM (BLOCKER)", IF(AND(K170="ĐỦ 3 TRỤC (100%)", O170="ĐỦ 3 LEVEL DASHBOARD", P170="Qua OTel Collector (Đúng chuẩn)"), "ĐẠT CHUẨN QG2 (PASS)", IF(AND(K170="CHƯA GẮN (0%)", O170="CHƯA CÓ DASHBOARD"), "CHƯA TRIỂN KHAI", "ĐANG HOÀN THIỆN (PENDING)"))))</f>
        <v/>
      </c>
      <c r="S170" s="45" t="n"/>
      <c r="T170" s="45" t="n"/>
      <c r="U170" s="47" t="n"/>
      <c r="V170" s="45" t="n"/>
    </row>
    <row r="171" ht="24" customHeight="1">
      <c r="A171" s="44">
        <f>IF(COUNTA(B171:C171)=0, "", COUNTA($C$6:C171))</f>
        <v/>
      </c>
      <c r="B171" s="24" t="n"/>
      <c r="C171" s="48" t="n"/>
      <c r="D171" s="25" t="n"/>
      <c r="E171" s="25" t="n"/>
      <c r="F171" s="44">
        <f>IF(E171="", "", IF(OR(E171=".NET 8 (SDK v1.5+ hỗ trợ chính thức)", E171=".NET 6 / .NET 7 (SDK v1.5+ hỗ trợ chính thức)"), "Hỗ trợ chuẩn SDK (.NET 6/7/8)", "Ngoài phạm vi SDK (Dùng OTel Native)"))</f>
        <v/>
      </c>
      <c r="G171" s="25" t="n"/>
      <c r="H171" s="25" t="n"/>
      <c r="I171" s="25" t="n"/>
      <c r="J171" s="25" t="n"/>
      <c r="K171" s="44">
        <f>IF(COUNTA(H171:J171)=0, "", IF(COUNTIF(H171:J171, "Đã hoàn thành (Đạt chuẩn)")=3, "ĐỦ 3 TRỤC (100%)", IF(COUNTIF(H171:J171, "Chưa triển khai")=3, "CHƯA GẮN (0%)", "THIẾU / CHƯA ĐẠT (" &amp; COUNTIF(H171:J171, "Đã hoàn thành (Đạt chuẩn)") &amp; "/3)")))</f>
        <v/>
      </c>
      <c r="L171" s="25" t="n"/>
      <c r="M171" s="25" t="n"/>
      <c r="N171" s="25" t="n"/>
      <c r="O171" s="44">
        <f>IF(COUNTA(L171:N171)=0, "", IF(COUNTIF(L171:N171, "Đã có (Đạt chuẩn)")=3, "ĐỦ 3 LEVEL DASHBOARD", IF(COUNTIF(L171:N171, "Chưa có")=3, "CHƯA CÓ DASHBOARD", "THIẾU DASHBOARD (" &amp; COUNTIF(L171:N171, "Đã có (Đạt chuẩn)") &amp; "/3)")))</f>
        <v/>
      </c>
      <c r="P171" s="25" t="n"/>
      <c r="Q171" s="25" t="n"/>
      <c r="R171" s="44">
        <f>IF(C171="", "", IF(P171="Đẩy thẳng Kafka / ES (Vi phạm BLOCKER)", "VI PHẠM (BLOCKER)", IF(AND(K171="ĐỦ 3 TRỤC (100%)", O171="ĐỦ 3 LEVEL DASHBOARD", P171="Qua OTel Collector (Đúng chuẩn)"), "ĐẠT CHUẨN QG2 (PASS)", IF(AND(K171="CHƯA GẮN (0%)", O171="CHƯA CÓ DASHBOARD"), "CHƯA TRIỂN KHAI", "ĐANG HOÀN THIỆN (PENDING)"))))</f>
        <v/>
      </c>
      <c r="S171" s="24" t="n"/>
      <c r="T171" s="24" t="n"/>
      <c r="U171" s="25" t="n"/>
      <c r="V171" s="24" t="n"/>
    </row>
    <row r="172" ht="24" customHeight="1">
      <c r="A172" s="44">
        <f>IF(COUNTA(B172:C172)=0, "", COUNTA($C$6:C172))</f>
        <v/>
      </c>
      <c r="B172" s="45" t="n"/>
      <c r="C172" s="46" t="n"/>
      <c r="D172" s="47" t="n"/>
      <c r="E172" s="47" t="n"/>
      <c r="F172" s="44">
        <f>IF(E172="", "", IF(OR(E172=".NET 8 (SDK v1.5+ hỗ trợ chính thức)", E172=".NET 6 / .NET 7 (SDK v1.5+ hỗ trợ chính thức)"), "Hỗ trợ chuẩn SDK (.NET 6/7/8)", "Ngoài phạm vi SDK (Dùng OTel Native)"))</f>
        <v/>
      </c>
      <c r="G172" s="47" t="n"/>
      <c r="H172" s="47" t="n"/>
      <c r="I172" s="47" t="n"/>
      <c r="J172" s="47" t="n"/>
      <c r="K172" s="44">
        <f>IF(COUNTA(H172:J172)=0, "", IF(COUNTIF(H172:J172, "Đã hoàn thành (Đạt chuẩn)")=3, "ĐỦ 3 TRỤC (100%)", IF(COUNTIF(H172:J172, "Chưa triển khai")=3, "CHƯA GẮN (0%)", "THIẾU / CHƯA ĐẠT (" &amp; COUNTIF(H172:J172, "Đã hoàn thành (Đạt chuẩn)") &amp; "/3)")))</f>
        <v/>
      </c>
      <c r="L172" s="47" t="n"/>
      <c r="M172" s="47" t="n"/>
      <c r="N172" s="47" t="n"/>
      <c r="O172" s="44">
        <f>IF(COUNTA(L172:N172)=0, "", IF(COUNTIF(L172:N172, "Đã có (Đạt chuẩn)")=3, "ĐỦ 3 LEVEL DASHBOARD", IF(COUNTIF(L172:N172, "Chưa có")=3, "CHƯA CÓ DASHBOARD", "THIẾU DASHBOARD (" &amp; COUNTIF(L172:N172, "Đã có (Đạt chuẩn)") &amp; "/3)")))</f>
        <v/>
      </c>
      <c r="P172" s="47" t="n"/>
      <c r="Q172" s="47" t="n"/>
      <c r="R172" s="44">
        <f>IF(C172="", "", IF(P172="Đẩy thẳng Kafka / ES (Vi phạm BLOCKER)", "VI PHẠM (BLOCKER)", IF(AND(K172="ĐỦ 3 TRỤC (100%)", O172="ĐỦ 3 LEVEL DASHBOARD", P172="Qua OTel Collector (Đúng chuẩn)"), "ĐẠT CHUẨN QG2 (PASS)", IF(AND(K172="CHƯA GẮN (0%)", O172="CHƯA CÓ DASHBOARD"), "CHƯA TRIỂN KHAI", "ĐANG HOÀN THIỆN (PENDING)"))))</f>
        <v/>
      </c>
      <c r="S172" s="45" t="n"/>
      <c r="T172" s="45" t="n"/>
      <c r="U172" s="47" t="n"/>
      <c r="V172" s="45" t="n"/>
    </row>
    <row r="173" ht="24" customHeight="1">
      <c r="A173" s="44">
        <f>IF(COUNTA(B173:C173)=0, "", COUNTA($C$6:C173))</f>
        <v/>
      </c>
      <c r="B173" s="24" t="n"/>
      <c r="C173" s="48" t="n"/>
      <c r="D173" s="25" t="n"/>
      <c r="E173" s="25" t="n"/>
      <c r="F173" s="44">
        <f>IF(E173="", "", IF(OR(E173=".NET 8 (SDK v1.5+ hỗ trợ chính thức)", E173=".NET 6 / .NET 7 (SDK v1.5+ hỗ trợ chính thức)"), "Hỗ trợ chuẩn SDK (.NET 6/7/8)", "Ngoài phạm vi SDK (Dùng OTel Native)"))</f>
        <v/>
      </c>
      <c r="G173" s="25" t="n"/>
      <c r="H173" s="25" t="n"/>
      <c r="I173" s="25" t="n"/>
      <c r="J173" s="25" t="n"/>
      <c r="K173" s="44">
        <f>IF(COUNTA(H173:J173)=0, "", IF(COUNTIF(H173:J173, "Đã hoàn thành (Đạt chuẩn)")=3, "ĐỦ 3 TRỤC (100%)", IF(COUNTIF(H173:J173, "Chưa triển khai")=3, "CHƯA GẮN (0%)", "THIẾU / CHƯA ĐẠT (" &amp; COUNTIF(H173:J173, "Đã hoàn thành (Đạt chuẩn)") &amp; "/3)")))</f>
        <v/>
      </c>
      <c r="L173" s="25" t="n"/>
      <c r="M173" s="25" t="n"/>
      <c r="N173" s="25" t="n"/>
      <c r="O173" s="44">
        <f>IF(COUNTA(L173:N173)=0, "", IF(COUNTIF(L173:N173, "Đã có (Đạt chuẩn)")=3, "ĐỦ 3 LEVEL DASHBOARD", IF(COUNTIF(L173:N173, "Chưa có")=3, "CHƯA CÓ DASHBOARD", "THIẾU DASHBOARD (" &amp; COUNTIF(L173:N173, "Đã có (Đạt chuẩn)") &amp; "/3)")))</f>
        <v/>
      </c>
      <c r="P173" s="25" t="n"/>
      <c r="Q173" s="25" t="n"/>
      <c r="R173" s="44">
        <f>IF(C173="", "", IF(P173="Đẩy thẳng Kafka / ES (Vi phạm BLOCKER)", "VI PHẠM (BLOCKER)", IF(AND(K173="ĐỦ 3 TRỤC (100%)", O173="ĐỦ 3 LEVEL DASHBOARD", P173="Qua OTel Collector (Đúng chuẩn)"), "ĐẠT CHUẨN QG2 (PASS)", IF(AND(K173="CHƯA GẮN (0%)", O173="CHƯA CÓ DASHBOARD"), "CHƯA TRIỂN KHAI", "ĐANG HOÀN THIỆN (PENDING)"))))</f>
        <v/>
      </c>
      <c r="S173" s="24" t="n"/>
      <c r="T173" s="24" t="n"/>
      <c r="U173" s="25" t="n"/>
      <c r="V173" s="24" t="n"/>
    </row>
    <row r="174" ht="24" customHeight="1">
      <c r="A174" s="44">
        <f>IF(COUNTA(B174:C174)=0, "", COUNTA($C$6:C174))</f>
        <v/>
      </c>
      <c r="B174" s="45" t="n"/>
      <c r="C174" s="46" t="n"/>
      <c r="D174" s="47" t="n"/>
      <c r="E174" s="47" t="n"/>
      <c r="F174" s="44">
        <f>IF(E174="", "", IF(OR(E174=".NET 8 (SDK v1.5+ hỗ trợ chính thức)", E174=".NET 6 / .NET 7 (SDK v1.5+ hỗ trợ chính thức)"), "Hỗ trợ chuẩn SDK (.NET 6/7/8)", "Ngoài phạm vi SDK (Dùng OTel Native)"))</f>
        <v/>
      </c>
      <c r="G174" s="47" t="n"/>
      <c r="H174" s="47" t="n"/>
      <c r="I174" s="47" t="n"/>
      <c r="J174" s="47" t="n"/>
      <c r="K174" s="44">
        <f>IF(COUNTA(H174:J174)=0, "", IF(COUNTIF(H174:J174, "Đã hoàn thành (Đạt chuẩn)")=3, "ĐỦ 3 TRỤC (100%)", IF(COUNTIF(H174:J174, "Chưa triển khai")=3, "CHƯA GẮN (0%)", "THIẾU / CHƯA ĐẠT (" &amp; COUNTIF(H174:J174, "Đã hoàn thành (Đạt chuẩn)") &amp; "/3)")))</f>
        <v/>
      </c>
      <c r="L174" s="47" t="n"/>
      <c r="M174" s="47" t="n"/>
      <c r="N174" s="47" t="n"/>
      <c r="O174" s="44">
        <f>IF(COUNTA(L174:N174)=0, "", IF(COUNTIF(L174:N174, "Đã có (Đạt chuẩn)")=3, "ĐỦ 3 LEVEL DASHBOARD", IF(COUNTIF(L174:N174, "Chưa có")=3, "CHƯA CÓ DASHBOARD", "THIẾU DASHBOARD (" &amp; COUNTIF(L174:N174, "Đã có (Đạt chuẩn)") &amp; "/3)")))</f>
        <v/>
      </c>
      <c r="P174" s="47" t="n"/>
      <c r="Q174" s="47" t="n"/>
      <c r="R174" s="44">
        <f>IF(C174="", "", IF(P174="Đẩy thẳng Kafka / ES (Vi phạm BLOCKER)", "VI PHẠM (BLOCKER)", IF(AND(K174="ĐỦ 3 TRỤC (100%)", O174="ĐỦ 3 LEVEL DASHBOARD", P174="Qua OTel Collector (Đúng chuẩn)"), "ĐẠT CHUẨN QG2 (PASS)", IF(AND(K174="CHƯA GẮN (0%)", O174="CHƯA CÓ DASHBOARD"), "CHƯA TRIỂN KHAI", "ĐANG HOÀN THIỆN (PENDING)"))))</f>
        <v/>
      </c>
      <c r="S174" s="45" t="n"/>
      <c r="T174" s="45" t="n"/>
      <c r="U174" s="47" t="n"/>
      <c r="V174" s="45" t="n"/>
    </row>
    <row r="175" ht="24" customHeight="1">
      <c r="A175" s="44">
        <f>IF(COUNTA(B175:C175)=0, "", COUNTA($C$6:C175))</f>
        <v/>
      </c>
      <c r="B175" s="24" t="n"/>
      <c r="C175" s="48" t="n"/>
      <c r="D175" s="25" t="n"/>
      <c r="E175" s="25" t="n"/>
      <c r="F175" s="44">
        <f>IF(E175="", "", IF(OR(E175=".NET 8 (SDK v1.5+ hỗ trợ chính thức)", E175=".NET 6 / .NET 7 (SDK v1.5+ hỗ trợ chính thức)"), "Hỗ trợ chuẩn SDK (.NET 6/7/8)", "Ngoài phạm vi SDK (Dùng OTel Native)"))</f>
        <v/>
      </c>
      <c r="G175" s="25" t="n"/>
      <c r="H175" s="25" t="n"/>
      <c r="I175" s="25" t="n"/>
      <c r="J175" s="25" t="n"/>
      <c r="K175" s="44">
        <f>IF(COUNTA(H175:J175)=0, "", IF(COUNTIF(H175:J175, "Đã hoàn thành (Đạt chuẩn)")=3, "ĐỦ 3 TRỤC (100%)", IF(COUNTIF(H175:J175, "Chưa triển khai")=3, "CHƯA GẮN (0%)", "THIẾU / CHƯA ĐẠT (" &amp; COUNTIF(H175:J175, "Đã hoàn thành (Đạt chuẩn)") &amp; "/3)")))</f>
        <v/>
      </c>
      <c r="L175" s="25" t="n"/>
      <c r="M175" s="25" t="n"/>
      <c r="N175" s="25" t="n"/>
      <c r="O175" s="44">
        <f>IF(COUNTA(L175:N175)=0, "", IF(COUNTIF(L175:N175, "Đã có (Đạt chuẩn)")=3, "ĐỦ 3 LEVEL DASHBOARD", IF(COUNTIF(L175:N175, "Chưa có")=3, "CHƯA CÓ DASHBOARD", "THIẾU DASHBOARD (" &amp; COUNTIF(L175:N175, "Đã có (Đạt chuẩn)") &amp; "/3)")))</f>
        <v/>
      </c>
      <c r="P175" s="25" t="n"/>
      <c r="Q175" s="25" t="n"/>
      <c r="R175" s="44">
        <f>IF(C175="", "", IF(P175="Đẩy thẳng Kafka / ES (Vi phạm BLOCKER)", "VI PHẠM (BLOCKER)", IF(AND(K175="ĐỦ 3 TRỤC (100%)", O175="ĐỦ 3 LEVEL DASHBOARD", P175="Qua OTel Collector (Đúng chuẩn)"), "ĐẠT CHUẨN QG2 (PASS)", IF(AND(K175="CHƯA GẮN (0%)", O175="CHƯA CÓ DASHBOARD"), "CHƯA TRIỂN KHAI", "ĐANG HOÀN THIỆN (PENDING)"))))</f>
        <v/>
      </c>
      <c r="S175" s="24" t="n"/>
      <c r="T175" s="24" t="n"/>
      <c r="U175" s="25" t="n"/>
      <c r="V175" s="24" t="n"/>
    </row>
    <row r="176" ht="24" customHeight="1">
      <c r="A176" s="44">
        <f>IF(COUNTA(B176:C176)=0, "", COUNTA($C$6:C176))</f>
        <v/>
      </c>
      <c r="B176" s="45" t="n"/>
      <c r="C176" s="46" t="n"/>
      <c r="D176" s="47" t="n"/>
      <c r="E176" s="47" t="n"/>
      <c r="F176" s="44">
        <f>IF(E176="", "", IF(OR(E176=".NET 8 (SDK v1.5+ hỗ trợ chính thức)", E176=".NET 6 / .NET 7 (SDK v1.5+ hỗ trợ chính thức)"), "Hỗ trợ chuẩn SDK (.NET 6/7/8)", "Ngoài phạm vi SDK (Dùng OTel Native)"))</f>
        <v/>
      </c>
      <c r="G176" s="47" t="n"/>
      <c r="H176" s="47" t="n"/>
      <c r="I176" s="47" t="n"/>
      <c r="J176" s="47" t="n"/>
      <c r="K176" s="44">
        <f>IF(COUNTA(H176:J176)=0, "", IF(COUNTIF(H176:J176, "Đã hoàn thành (Đạt chuẩn)")=3, "ĐỦ 3 TRỤC (100%)", IF(COUNTIF(H176:J176, "Chưa triển khai")=3, "CHƯA GẮN (0%)", "THIẾU / CHƯA ĐẠT (" &amp; COUNTIF(H176:J176, "Đã hoàn thành (Đạt chuẩn)") &amp; "/3)")))</f>
        <v/>
      </c>
      <c r="L176" s="47" t="n"/>
      <c r="M176" s="47" t="n"/>
      <c r="N176" s="47" t="n"/>
      <c r="O176" s="44">
        <f>IF(COUNTA(L176:N176)=0, "", IF(COUNTIF(L176:N176, "Đã có (Đạt chuẩn)")=3, "ĐỦ 3 LEVEL DASHBOARD", IF(COUNTIF(L176:N176, "Chưa có")=3, "CHƯA CÓ DASHBOARD", "THIẾU DASHBOARD (" &amp; COUNTIF(L176:N176, "Đã có (Đạt chuẩn)") &amp; "/3)")))</f>
        <v/>
      </c>
      <c r="P176" s="47" t="n"/>
      <c r="Q176" s="47" t="n"/>
      <c r="R176" s="44">
        <f>IF(C176="", "", IF(P176="Đẩy thẳng Kafka / ES (Vi phạm BLOCKER)", "VI PHẠM (BLOCKER)", IF(AND(K176="ĐỦ 3 TRỤC (100%)", O176="ĐỦ 3 LEVEL DASHBOARD", P176="Qua OTel Collector (Đúng chuẩn)"), "ĐẠT CHUẨN QG2 (PASS)", IF(AND(K176="CHƯA GẮN (0%)", O176="CHƯA CÓ DASHBOARD"), "CHƯA TRIỂN KHAI", "ĐANG HOÀN THIỆN (PENDING)"))))</f>
        <v/>
      </c>
      <c r="S176" s="45" t="n"/>
      <c r="T176" s="45" t="n"/>
      <c r="U176" s="47" t="n"/>
      <c r="V176" s="45" t="n"/>
    </row>
    <row r="177" ht="24" customHeight="1">
      <c r="A177" s="44">
        <f>IF(COUNTA(B177:C177)=0, "", COUNTA($C$6:C177))</f>
        <v/>
      </c>
      <c r="B177" s="24" t="n"/>
      <c r="C177" s="48" t="n"/>
      <c r="D177" s="25" t="n"/>
      <c r="E177" s="25" t="n"/>
      <c r="F177" s="44">
        <f>IF(E177="", "", IF(OR(E177=".NET 8 (SDK v1.5+ hỗ trợ chính thức)", E177=".NET 6 / .NET 7 (SDK v1.5+ hỗ trợ chính thức)"), "Hỗ trợ chuẩn SDK (.NET 6/7/8)", "Ngoài phạm vi SDK (Dùng OTel Native)"))</f>
        <v/>
      </c>
      <c r="G177" s="25" t="n"/>
      <c r="H177" s="25" t="n"/>
      <c r="I177" s="25" t="n"/>
      <c r="J177" s="25" t="n"/>
      <c r="K177" s="44">
        <f>IF(COUNTA(H177:J177)=0, "", IF(COUNTIF(H177:J177, "Đã hoàn thành (Đạt chuẩn)")=3, "ĐỦ 3 TRỤC (100%)", IF(COUNTIF(H177:J177, "Chưa triển khai")=3, "CHƯA GẮN (0%)", "THIẾU / CHƯA ĐẠT (" &amp; COUNTIF(H177:J177, "Đã hoàn thành (Đạt chuẩn)") &amp; "/3)")))</f>
        <v/>
      </c>
      <c r="L177" s="25" t="n"/>
      <c r="M177" s="25" t="n"/>
      <c r="N177" s="25" t="n"/>
      <c r="O177" s="44">
        <f>IF(COUNTA(L177:N177)=0, "", IF(COUNTIF(L177:N177, "Đã có (Đạt chuẩn)")=3, "ĐỦ 3 LEVEL DASHBOARD", IF(COUNTIF(L177:N177, "Chưa có")=3, "CHƯA CÓ DASHBOARD", "THIẾU DASHBOARD (" &amp; COUNTIF(L177:N177, "Đã có (Đạt chuẩn)") &amp; "/3)")))</f>
        <v/>
      </c>
      <c r="P177" s="25" t="n"/>
      <c r="Q177" s="25" t="n"/>
      <c r="R177" s="44">
        <f>IF(C177="", "", IF(P177="Đẩy thẳng Kafka / ES (Vi phạm BLOCKER)", "VI PHẠM (BLOCKER)", IF(AND(K177="ĐỦ 3 TRỤC (100%)", O177="ĐỦ 3 LEVEL DASHBOARD", P177="Qua OTel Collector (Đúng chuẩn)"), "ĐẠT CHUẨN QG2 (PASS)", IF(AND(K177="CHƯA GẮN (0%)", O177="CHƯA CÓ DASHBOARD"), "CHƯA TRIỂN KHAI", "ĐANG HOÀN THIỆN (PENDING)"))))</f>
        <v/>
      </c>
      <c r="S177" s="24" t="n"/>
      <c r="T177" s="24" t="n"/>
      <c r="U177" s="25" t="n"/>
      <c r="V177" s="24" t="n"/>
    </row>
    <row r="178" ht="24" customHeight="1">
      <c r="A178" s="44">
        <f>IF(COUNTA(B178:C178)=0, "", COUNTA($C$6:C178))</f>
        <v/>
      </c>
      <c r="B178" s="45" t="n"/>
      <c r="C178" s="46" t="n"/>
      <c r="D178" s="47" t="n"/>
      <c r="E178" s="47" t="n"/>
      <c r="F178" s="44">
        <f>IF(E178="", "", IF(OR(E178=".NET 8 (SDK v1.5+ hỗ trợ chính thức)", E178=".NET 6 / .NET 7 (SDK v1.5+ hỗ trợ chính thức)"), "Hỗ trợ chuẩn SDK (.NET 6/7/8)", "Ngoài phạm vi SDK (Dùng OTel Native)"))</f>
        <v/>
      </c>
      <c r="G178" s="47" t="n"/>
      <c r="H178" s="47" t="n"/>
      <c r="I178" s="47" t="n"/>
      <c r="J178" s="47" t="n"/>
      <c r="K178" s="44">
        <f>IF(COUNTA(H178:J178)=0, "", IF(COUNTIF(H178:J178, "Đã hoàn thành (Đạt chuẩn)")=3, "ĐỦ 3 TRỤC (100%)", IF(COUNTIF(H178:J178, "Chưa triển khai")=3, "CHƯA GẮN (0%)", "THIẾU / CHƯA ĐẠT (" &amp; COUNTIF(H178:J178, "Đã hoàn thành (Đạt chuẩn)") &amp; "/3)")))</f>
        <v/>
      </c>
      <c r="L178" s="47" t="n"/>
      <c r="M178" s="47" t="n"/>
      <c r="N178" s="47" t="n"/>
      <c r="O178" s="44">
        <f>IF(COUNTA(L178:N178)=0, "", IF(COUNTIF(L178:N178, "Đã có (Đạt chuẩn)")=3, "ĐỦ 3 LEVEL DASHBOARD", IF(COUNTIF(L178:N178, "Chưa có")=3, "CHƯA CÓ DASHBOARD", "THIẾU DASHBOARD (" &amp; COUNTIF(L178:N178, "Đã có (Đạt chuẩn)") &amp; "/3)")))</f>
        <v/>
      </c>
      <c r="P178" s="47" t="n"/>
      <c r="Q178" s="47" t="n"/>
      <c r="R178" s="44">
        <f>IF(C178="", "", IF(P178="Đẩy thẳng Kafka / ES (Vi phạm BLOCKER)", "VI PHẠM (BLOCKER)", IF(AND(K178="ĐỦ 3 TRỤC (100%)", O178="ĐỦ 3 LEVEL DASHBOARD", P178="Qua OTel Collector (Đúng chuẩn)"), "ĐẠT CHUẨN QG2 (PASS)", IF(AND(K178="CHƯA GẮN (0%)", O178="CHƯA CÓ DASHBOARD"), "CHƯA TRIỂN KHAI", "ĐANG HOÀN THIỆN (PENDING)"))))</f>
        <v/>
      </c>
      <c r="S178" s="45" t="n"/>
      <c r="T178" s="45" t="n"/>
      <c r="U178" s="47" t="n"/>
      <c r="V178" s="45" t="n"/>
    </row>
    <row r="179" ht="24" customHeight="1">
      <c r="A179" s="44">
        <f>IF(COUNTA(B179:C179)=0, "", COUNTA($C$6:C179))</f>
        <v/>
      </c>
      <c r="B179" s="24" t="n"/>
      <c r="C179" s="48" t="n"/>
      <c r="D179" s="25" t="n"/>
      <c r="E179" s="25" t="n"/>
      <c r="F179" s="44">
        <f>IF(E179="", "", IF(OR(E179=".NET 8 (SDK v1.5+ hỗ trợ chính thức)", E179=".NET 6 / .NET 7 (SDK v1.5+ hỗ trợ chính thức)"), "Hỗ trợ chuẩn SDK (.NET 6/7/8)", "Ngoài phạm vi SDK (Dùng OTel Native)"))</f>
        <v/>
      </c>
      <c r="G179" s="25" t="n"/>
      <c r="H179" s="25" t="n"/>
      <c r="I179" s="25" t="n"/>
      <c r="J179" s="25" t="n"/>
      <c r="K179" s="44">
        <f>IF(COUNTA(H179:J179)=0, "", IF(COUNTIF(H179:J179, "Đã hoàn thành (Đạt chuẩn)")=3, "ĐỦ 3 TRỤC (100%)", IF(COUNTIF(H179:J179, "Chưa triển khai")=3, "CHƯA GẮN (0%)", "THIẾU / CHƯA ĐẠT (" &amp; COUNTIF(H179:J179, "Đã hoàn thành (Đạt chuẩn)") &amp; "/3)")))</f>
        <v/>
      </c>
      <c r="L179" s="25" t="n"/>
      <c r="M179" s="25" t="n"/>
      <c r="N179" s="25" t="n"/>
      <c r="O179" s="44">
        <f>IF(COUNTA(L179:N179)=0, "", IF(COUNTIF(L179:N179, "Đã có (Đạt chuẩn)")=3, "ĐỦ 3 LEVEL DASHBOARD", IF(COUNTIF(L179:N179, "Chưa có")=3, "CHƯA CÓ DASHBOARD", "THIẾU DASHBOARD (" &amp; COUNTIF(L179:N179, "Đã có (Đạt chuẩn)") &amp; "/3)")))</f>
        <v/>
      </c>
      <c r="P179" s="25" t="n"/>
      <c r="Q179" s="25" t="n"/>
      <c r="R179" s="44">
        <f>IF(C179="", "", IF(P179="Đẩy thẳng Kafka / ES (Vi phạm BLOCKER)", "VI PHẠM (BLOCKER)", IF(AND(K179="ĐỦ 3 TRỤC (100%)", O179="ĐỦ 3 LEVEL DASHBOARD", P179="Qua OTel Collector (Đúng chuẩn)"), "ĐẠT CHUẨN QG2 (PASS)", IF(AND(K179="CHƯA GẮN (0%)", O179="CHƯA CÓ DASHBOARD"), "CHƯA TRIỂN KHAI", "ĐANG HOÀN THIỆN (PENDING)"))))</f>
        <v/>
      </c>
      <c r="S179" s="24" t="n"/>
      <c r="T179" s="24" t="n"/>
      <c r="U179" s="25" t="n"/>
      <c r="V179" s="24" t="n"/>
    </row>
    <row r="180" ht="24" customHeight="1">
      <c r="A180" s="44">
        <f>IF(COUNTA(B180:C180)=0, "", COUNTA($C$6:C180))</f>
        <v/>
      </c>
      <c r="B180" s="45" t="n"/>
      <c r="C180" s="46" t="n"/>
      <c r="D180" s="47" t="n"/>
      <c r="E180" s="47" t="n"/>
      <c r="F180" s="44">
        <f>IF(E180="", "", IF(OR(E180=".NET 8 (SDK v1.5+ hỗ trợ chính thức)", E180=".NET 6 / .NET 7 (SDK v1.5+ hỗ trợ chính thức)"), "Hỗ trợ chuẩn SDK (.NET 6/7/8)", "Ngoài phạm vi SDK (Dùng OTel Native)"))</f>
        <v/>
      </c>
      <c r="G180" s="47" t="n"/>
      <c r="H180" s="47" t="n"/>
      <c r="I180" s="47" t="n"/>
      <c r="J180" s="47" t="n"/>
      <c r="K180" s="44">
        <f>IF(COUNTA(H180:J180)=0, "", IF(COUNTIF(H180:J180, "Đã hoàn thành (Đạt chuẩn)")=3, "ĐỦ 3 TRỤC (100%)", IF(COUNTIF(H180:J180, "Chưa triển khai")=3, "CHƯA GẮN (0%)", "THIẾU / CHƯA ĐẠT (" &amp; COUNTIF(H180:J180, "Đã hoàn thành (Đạt chuẩn)") &amp; "/3)")))</f>
        <v/>
      </c>
      <c r="L180" s="47" t="n"/>
      <c r="M180" s="47" t="n"/>
      <c r="N180" s="47" t="n"/>
      <c r="O180" s="44">
        <f>IF(COUNTA(L180:N180)=0, "", IF(COUNTIF(L180:N180, "Đã có (Đạt chuẩn)")=3, "ĐỦ 3 LEVEL DASHBOARD", IF(COUNTIF(L180:N180, "Chưa có")=3, "CHƯA CÓ DASHBOARD", "THIẾU DASHBOARD (" &amp; COUNTIF(L180:N180, "Đã có (Đạt chuẩn)") &amp; "/3)")))</f>
        <v/>
      </c>
      <c r="P180" s="47" t="n"/>
      <c r="Q180" s="47" t="n"/>
      <c r="R180" s="44">
        <f>IF(C180="", "", IF(P180="Đẩy thẳng Kafka / ES (Vi phạm BLOCKER)", "VI PHẠM (BLOCKER)", IF(AND(K180="ĐỦ 3 TRỤC (100%)", O180="ĐỦ 3 LEVEL DASHBOARD", P180="Qua OTel Collector (Đúng chuẩn)"), "ĐẠT CHUẨN QG2 (PASS)", IF(AND(K180="CHƯA GẮN (0%)", O180="CHƯA CÓ DASHBOARD"), "CHƯA TRIỂN KHAI", "ĐANG HOÀN THIỆN (PENDING)"))))</f>
        <v/>
      </c>
      <c r="S180" s="45" t="n"/>
      <c r="T180" s="45" t="n"/>
      <c r="U180" s="47" t="n"/>
      <c r="V180" s="45" t="n"/>
    </row>
    <row r="181" ht="24" customHeight="1">
      <c r="A181" s="44">
        <f>IF(COUNTA(B181:C181)=0, "", COUNTA($C$6:C181))</f>
        <v/>
      </c>
      <c r="B181" s="24" t="n"/>
      <c r="C181" s="48" t="n"/>
      <c r="D181" s="25" t="n"/>
      <c r="E181" s="25" t="n"/>
      <c r="F181" s="44">
        <f>IF(E181="", "", IF(OR(E181=".NET 8 (SDK v1.5+ hỗ trợ chính thức)", E181=".NET 6 / .NET 7 (SDK v1.5+ hỗ trợ chính thức)"), "Hỗ trợ chuẩn SDK (.NET 6/7/8)", "Ngoài phạm vi SDK (Dùng OTel Native)"))</f>
        <v/>
      </c>
      <c r="G181" s="25" t="n"/>
      <c r="H181" s="25" t="n"/>
      <c r="I181" s="25" t="n"/>
      <c r="J181" s="25" t="n"/>
      <c r="K181" s="44">
        <f>IF(COUNTA(H181:J181)=0, "", IF(COUNTIF(H181:J181, "Đã hoàn thành (Đạt chuẩn)")=3, "ĐỦ 3 TRỤC (100%)", IF(COUNTIF(H181:J181, "Chưa triển khai")=3, "CHƯA GẮN (0%)", "THIẾU / CHƯA ĐẠT (" &amp; COUNTIF(H181:J181, "Đã hoàn thành (Đạt chuẩn)") &amp; "/3)")))</f>
        <v/>
      </c>
      <c r="L181" s="25" t="n"/>
      <c r="M181" s="25" t="n"/>
      <c r="N181" s="25" t="n"/>
      <c r="O181" s="44">
        <f>IF(COUNTA(L181:N181)=0, "", IF(COUNTIF(L181:N181, "Đã có (Đạt chuẩn)")=3, "ĐỦ 3 LEVEL DASHBOARD", IF(COUNTIF(L181:N181, "Chưa có")=3, "CHƯA CÓ DASHBOARD", "THIẾU DASHBOARD (" &amp; COUNTIF(L181:N181, "Đã có (Đạt chuẩn)") &amp; "/3)")))</f>
        <v/>
      </c>
      <c r="P181" s="25" t="n"/>
      <c r="Q181" s="25" t="n"/>
      <c r="R181" s="44">
        <f>IF(C181="", "", IF(P181="Đẩy thẳng Kafka / ES (Vi phạm BLOCKER)", "VI PHẠM (BLOCKER)", IF(AND(K181="ĐỦ 3 TRỤC (100%)", O181="ĐỦ 3 LEVEL DASHBOARD", P181="Qua OTel Collector (Đúng chuẩn)"), "ĐẠT CHUẨN QG2 (PASS)", IF(AND(K181="CHƯA GẮN (0%)", O181="CHƯA CÓ DASHBOARD"), "CHƯA TRIỂN KHAI", "ĐANG HOÀN THIỆN (PENDING)"))))</f>
        <v/>
      </c>
      <c r="S181" s="24" t="n"/>
      <c r="T181" s="24" t="n"/>
      <c r="U181" s="25" t="n"/>
      <c r="V181" s="24" t="n"/>
    </row>
    <row r="182" ht="24" customHeight="1">
      <c r="A182" s="44">
        <f>IF(COUNTA(B182:C182)=0, "", COUNTA($C$6:C182))</f>
        <v/>
      </c>
      <c r="B182" s="45" t="n"/>
      <c r="C182" s="46" t="n"/>
      <c r="D182" s="47" t="n"/>
      <c r="E182" s="47" t="n"/>
      <c r="F182" s="44">
        <f>IF(E182="", "", IF(OR(E182=".NET 8 (SDK v1.5+ hỗ trợ chính thức)", E182=".NET 6 / .NET 7 (SDK v1.5+ hỗ trợ chính thức)"), "Hỗ trợ chuẩn SDK (.NET 6/7/8)", "Ngoài phạm vi SDK (Dùng OTel Native)"))</f>
        <v/>
      </c>
      <c r="G182" s="47" t="n"/>
      <c r="H182" s="47" t="n"/>
      <c r="I182" s="47" t="n"/>
      <c r="J182" s="47" t="n"/>
      <c r="K182" s="44">
        <f>IF(COUNTA(H182:J182)=0, "", IF(COUNTIF(H182:J182, "Đã hoàn thành (Đạt chuẩn)")=3, "ĐỦ 3 TRỤC (100%)", IF(COUNTIF(H182:J182, "Chưa triển khai")=3, "CHƯA GẮN (0%)", "THIẾU / CHƯA ĐẠT (" &amp; COUNTIF(H182:J182, "Đã hoàn thành (Đạt chuẩn)") &amp; "/3)")))</f>
        <v/>
      </c>
      <c r="L182" s="47" t="n"/>
      <c r="M182" s="47" t="n"/>
      <c r="N182" s="47" t="n"/>
      <c r="O182" s="44">
        <f>IF(COUNTA(L182:N182)=0, "", IF(COUNTIF(L182:N182, "Đã có (Đạt chuẩn)")=3, "ĐỦ 3 LEVEL DASHBOARD", IF(COUNTIF(L182:N182, "Chưa có")=3, "CHƯA CÓ DASHBOARD", "THIẾU DASHBOARD (" &amp; COUNTIF(L182:N182, "Đã có (Đạt chuẩn)") &amp; "/3)")))</f>
        <v/>
      </c>
      <c r="P182" s="47" t="n"/>
      <c r="Q182" s="47" t="n"/>
      <c r="R182" s="44">
        <f>IF(C182="", "", IF(P182="Đẩy thẳng Kafka / ES (Vi phạm BLOCKER)", "VI PHẠM (BLOCKER)", IF(AND(K182="ĐỦ 3 TRỤC (100%)", O182="ĐỦ 3 LEVEL DASHBOARD", P182="Qua OTel Collector (Đúng chuẩn)"), "ĐẠT CHUẨN QG2 (PASS)", IF(AND(K182="CHƯA GẮN (0%)", O182="CHƯA CÓ DASHBOARD"), "CHƯA TRIỂN KHAI", "ĐANG HOÀN THIỆN (PENDING)"))))</f>
        <v/>
      </c>
      <c r="S182" s="45" t="n"/>
      <c r="T182" s="45" t="n"/>
      <c r="U182" s="47" t="n"/>
      <c r="V182" s="45" t="n"/>
    </row>
    <row r="183" ht="24" customHeight="1">
      <c r="A183" s="44">
        <f>IF(COUNTA(B183:C183)=0, "", COUNTA($C$6:C183))</f>
        <v/>
      </c>
      <c r="B183" s="24" t="n"/>
      <c r="C183" s="48" t="n"/>
      <c r="D183" s="25" t="n"/>
      <c r="E183" s="25" t="n"/>
      <c r="F183" s="44">
        <f>IF(E183="", "", IF(OR(E183=".NET 8 (SDK v1.5+ hỗ trợ chính thức)", E183=".NET 6 / .NET 7 (SDK v1.5+ hỗ trợ chính thức)"), "Hỗ trợ chuẩn SDK (.NET 6/7/8)", "Ngoài phạm vi SDK (Dùng OTel Native)"))</f>
        <v/>
      </c>
      <c r="G183" s="25" t="n"/>
      <c r="H183" s="25" t="n"/>
      <c r="I183" s="25" t="n"/>
      <c r="J183" s="25" t="n"/>
      <c r="K183" s="44">
        <f>IF(COUNTA(H183:J183)=0, "", IF(COUNTIF(H183:J183, "Đã hoàn thành (Đạt chuẩn)")=3, "ĐỦ 3 TRỤC (100%)", IF(COUNTIF(H183:J183, "Chưa triển khai")=3, "CHƯA GẮN (0%)", "THIẾU / CHƯA ĐẠT (" &amp; COUNTIF(H183:J183, "Đã hoàn thành (Đạt chuẩn)") &amp; "/3)")))</f>
        <v/>
      </c>
      <c r="L183" s="25" t="n"/>
      <c r="M183" s="25" t="n"/>
      <c r="N183" s="25" t="n"/>
      <c r="O183" s="44">
        <f>IF(COUNTA(L183:N183)=0, "", IF(COUNTIF(L183:N183, "Đã có (Đạt chuẩn)")=3, "ĐỦ 3 LEVEL DASHBOARD", IF(COUNTIF(L183:N183, "Chưa có")=3, "CHƯA CÓ DASHBOARD", "THIẾU DASHBOARD (" &amp; COUNTIF(L183:N183, "Đã có (Đạt chuẩn)") &amp; "/3)")))</f>
        <v/>
      </c>
      <c r="P183" s="25" t="n"/>
      <c r="Q183" s="25" t="n"/>
      <c r="R183" s="44">
        <f>IF(C183="", "", IF(P183="Đẩy thẳng Kafka / ES (Vi phạm BLOCKER)", "VI PHẠM (BLOCKER)", IF(AND(K183="ĐỦ 3 TRỤC (100%)", O183="ĐỦ 3 LEVEL DASHBOARD", P183="Qua OTel Collector (Đúng chuẩn)"), "ĐẠT CHUẨN QG2 (PASS)", IF(AND(K183="CHƯA GẮN (0%)", O183="CHƯA CÓ DASHBOARD"), "CHƯA TRIỂN KHAI", "ĐANG HOÀN THIỆN (PENDING)"))))</f>
        <v/>
      </c>
      <c r="S183" s="24" t="n"/>
      <c r="T183" s="24" t="n"/>
      <c r="U183" s="25" t="n"/>
      <c r="V183" s="24" t="n"/>
    </row>
    <row r="184" ht="24" customHeight="1">
      <c r="A184" s="44">
        <f>IF(COUNTA(B184:C184)=0, "", COUNTA($C$6:C184))</f>
        <v/>
      </c>
      <c r="B184" s="45" t="n"/>
      <c r="C184" s="46" t="n"/>
      <c r="D184" s="47" t="n"/>
      <c r="E184" s="47" t="n"/>
      <c r="F184" s="44">
        <f>IF(E184="", "", IF(OR(E184=".NET 8 (SDK v1.5+ hỗ trợ chính thức)", E184=".NET 6 / .NET 7 (SDK v1.5+ hỗ trợ chính thức)"), "Hỗ trợ chuẩn SDK (.NET 6/7/8)", "Ngoài phạm vi SDK (Dùng OTel Native)"))</f>
        <v/>
      </c>
      <c r="G184" s="47" t="n"/>
      <c r="H184" s="47" t="n"/>
      <c r="I184" s="47" t="n"/>
      <c r="J184" s="47" t="n"/>
      <c r="K184" s="44">
        <f>IF(COUNTA(H184:J184)=0, "", IF(COUNTIF(H184:J184, "Đã hoàn thành (Đạt chuẩn)")=3, "ĐỦ 3 TRỤC (100%)", IF(COUNTIF(H184:J184, "Chưa triển khai")=3, "CHƯA GẮN (0%)", "THIẾU / CHƯA ĐẠT (" &amp; COUNTIF(H184:J184, "Đã hoàn thành (Đạt chuẩn)") &amp; "/3)")))</f>
        <v/>
      </c>
      <c r="L184" s="47" t="n"/>
      <c r="M184" s="47" t="n"/>
      <c r="N184" s="47" t="n"/>
      <c r="O184" s="44">
        <f>IF(COUNTA(L184:N184)=0, "", IF(COUNTIF(L184:N184, "Đã có (Đạt chuẩn)")=3, "ĐỦ 3 LEVEL DASHBOARD", IF(COUNTIF(L184:N184, "Chưa có")=3, "CHƯA CÓ DASHBOARD", "THIẾU DASHBOARD (" &amp; COUNTIF(L184:N184, "Đã có (Đạt chuẩn)") &amp; "/3)")))</f>
        <v/>
      </c>
      <c r="P184" s="47" t="n"/>
      <c r="Q184" s="47" t="n"/>
      <c r="R184" s="44">
        <f>IF(C184="", "", IF(P184="Đẩy thẳng Kafka / ES (Vi phạm BLOCKER)", "VI PHẠM (BLOCKER)", IF(AND(K184="ĐỦ 3 TRỤC (100%)", O184="ĐỦ 3 LEVEL DASHBOARD", P184="Qua OTel Collector (Đúng chuẩn)"), "ĐẠT CHUẨN QG2 (PASS)", IF(AND(K184="CHƯA GẮN (0%)", O184="CHƯA CÓ DASHBOARD"), "CHƯA TRIỂN KHAI", "ĐANG HOÀN THIỆN (PENDING)"))))</f>
        <v/>
      </c>
      <c r="S184" s="45" t="n"/>
      <c r="T184" s="45" t="n"/>
      <c r="U184" s="47" t="n"/>
      <c r="V184" s="45" t="n"/>
    </row>
    <row r="185" ht="24" customHeight="1">
      <c r="A185" s="44">
        <f>IF(COUNTA(B185:C185)=0, "", COUNTA($C$6:C185))</f>
        <v/>
      </c>
      <c r="B185" s="24" t="n"/>
      <c r="C185" s="48" t="n"/>
      <c r="D185" s="25" t="n"/>
      <c r="E185" s="25" t="n"/>
      <c r="F185" s="44">
        <f>IF(E185="", "", IF(OR(E185=".NET 8 (SDK v1.5+ hỗ trợ chính thức)", E185=".NET 6 / .NET 7 (SDK v1.5+ hỗ trợ chính thức)"), "Hỗ trợ chuẩn SDK (.NET 6/7/8)", "Ngoài phạm vi SDK (Dùng OTel Native)"))</f>
        <v/>
      </c>
      <c r="G185" s="25" t="n"/>
      <c r="H185" s="25" t="n"/>
      <c r="I185" s="25" t="n"/>
      <c r="J185" s="25" t="n"/>
      <c r="K185" s="44">
        <f>IF(COUNTA(H185:J185)=0, "", IF(COUNTIF(H185:J185, "Đã hoàn thành (Đạt chuẩn)")=3, "ĐỦ 3 TRỤC (100%)", IF(COUNTIF(H185:J185, "Chưa triển khai")=3, "CHƯA GẮN (0%)", "THIẾU / CHƯA ĐẠT (" &amp; COUNTIF(H185:J185, "Đã hoàn thành (Đạt chuẩn)") &amp; "/3)")))</f>
        <v/>
      </c>
      <c r="L185" s="25" t="n"/>
      <c r="M185" s="25" t="n"/>
      <c r="N185" s="25" t="n"/>
      <c r="O185" s="44">
        <f>IF(COUNTA(L185:N185)=0, "", IF(COUNTIF(L185:N185, "Đã có (Đạt chuẩn)")=3, "ĐỦ 3 LEVEL DASHBOARD", IF(COUNTIF(L185:N185, "Chưa có")=3, "CHƯA CÓ DASHBOARD", "THIẾU DASHBOARD (" &amp; COUNTIF(L185:N185, "Đã có (Đạt chuẩn)") &amp; "/3)")))</f>
        <v/>
      </c>
      <c r="P185" s="25" t="n"/>
      <c r="Q185" s="25" t="n"/>
      <c r="R185" s="44">
        <f>IF(C185="", "", IF(P185="Đẩy thẳng Kafka / ES (Vi phạm BLOCKER)", "VI PHẠM (BLOCKER)", IF(AND(K185="ĐỦ 3 TRỤC (100%)", O185="ĐỦ 3 LEVEL DASHBOARD", P185="Qua OTel Collector (Đúng chuẩn)"), "ĐẠT CHUẨN QG2 (PASS)", IF(AND(K185="CHƯA GẮN (0%)", O185="CHƯA CÓ DASHBOARD"), "CHƯA TRIỂN KHAI", "ĐANG HOÀN THIỆN (PENDING)"))))</f>
        <v/>
      </c>
      <c r="S185" s="24" t="n"/>
      <c r="T185" s="24" t="n"/>
      <c r="U185" s="25" t="n"/>
      <c r="V185" s="24" t="n"/>
    </row>
    <row r="186" ht="24" customHeight="1">
      <c r="A186" s="44">
        <f>IF(COUNTA(B186:C186)=0, "", COUNTA($C$6:C186))</f>
        <v/>
      </c>
      <c r="B186" s="45" t="n"/>
      <c r="C186" s="46" t="n"/>
      <c r="D186" s="47" t="n"/>
      <c r="E186" s="47" t="n"/>
      <c r="F186" s="44">
        <f>IF(E186="", "", IF(OR(E186=".NET 8 (SDK v1.5+ hỗ trợ chính thức)", E186=".NET 6 / .NET 7 (SDK v1.5+ hỗ trợ chính thức)"), "Hỗ trợ chuẩn SDK (.NET 6/7/8)", "Ngoài phạm vi SDK (Dùng OTel Native)"))</f>
        <v/>
      </c>
      <c r="G186" s="47" t="n"/>
      <c r="H186" s="47" t="n"/>
      <c r="I186" s="47" t="n"/>
      <c r="J186" s="47" t="n"/>
      <c r="K186" s="44">
        <f>IF(COUNTA(H186:J186)=0, "", IF(COUNTIF(H186:J186, "Đã hoàn thành (Đạt chuẩn)")=3, "ĐỦ 3 TRỤC (100%)", IF(COUNTIF(H186:J186, "Chưa triển khai")=3, "CHƯA GẮN (0%)", "THIẾU / CHƯA ĐẠT (" &amp; COUNTIF(H186:J186, "Đã hoàn thành (Đạt chuẩn)") &amp; "/3)")))</f>
        <v/>
      </c>
      <c r="L186" s="47" t="n"/>
      <c r="M186" s="47" t="n"/>
      <c r="N186" s="47" t="n"/>
      <c r="O186" s="44">
        <f>IF(COUNTA(L186:N186)=0, "", IF(COUNTIF(L186:N186, "Đã có (Đạt chuẩn)")=3, "ĐỦ 3 LEVEL DASHBOARD", IF(COUNTIF(L186:N186, "Chưa có")=3, "CHƯA CÓ DASHBOARD", "THIẾU DASHBOARD (" &amp; COUNTIF(L186:N186, "Đã có (Đạt chuẩn)") &amp; "/3)")))</f>
        <v/>
      </c>
      <c r="P186" s="47" t="n"/>
      <c r="Q186" s="47" t="n"/>
      <c r="R186" s="44">
        <f>IF(C186="", "", IF(P186="Đẩy thẳng Kafka / ES (Vi phạm BLOCKER)", "VI PHẠM (BLOCKER)", IF(AND(K186="ĐỦ 3 TRỤC (100%)", O186="ĐỦ 3 LEVEL DASHBOARD", P186="Qua OTel Collector (Đúng chuẩn)"), "ĐẠT CHUẨN QG2 (PASS)", IF(AND(K186="CHƯA GẮN (0%)", O186="CHƯA CÓ DASHBOARD"), "CHƯA TRIỂN KHAI", "ĐANG HOÀN THIỆN (PENDING)"))))</f>
        <v/>
      </c>
      <c r="S186" s="45" t="n"/>
      <c r="T186" s="45" t="n"/>
      <c r="U186" s="47" t="n"/>
      <c r="V186" s="45" t="n"/>
    </row>
    <row r="187" ht="24" customHeight="1">
      <c r="A187" s="44">
        <f>IF(COUNTA(B187:C187)=0, "", COUNTA($C$6:C187))</f>
        <v/>
      </c>
      <c r="B187" s="24" t="n"/>
      <c r="C187" s="48" t="n"/>
      <c r="D187" s="25" t="n"/>
      <c r="E187" s="25" t="n"/>
      <c r="F187" s="44">
        <f>IF(E187="", "", IF(OR(E187=".NET 8 (SDK v1.5+ hỗ trợ chính thức)", E187=".NET 6 / .NET 7 (SDK v1.5+ hỗ trợ chính thức)"), "Hỗ trợ chuẩn SDK (.NET 6/7/8)", "Ngoài phạm vi SDK (Dùng OTel Native)"))</f>
        <v/>
      </c>
      <c r="G187" s="25" t="n"/>
      <c r="H187" s="25" t="n"/>
      <c r="I187" s="25" t="n"/>
      <c r="J187" s="25" t="n"/>
      <c r="K187" s="44">
        <f>IF(COUNTA(H187:J187)=0, "", IF(COUNTIF(H187:J187, "Đã hoàn thành (Đạt chuẩn)")=3, "ĐỦ 3 TRỤC (100%)", IF(COUNTIF(H187:J187, "Chưa triển khai")=3, "CHƯA GẮN (0%)", "THIẾU / CHƯA ĐẠT (" &amp; COUNTIF(H187:J187, "Đã hoàn thành (Đạt chuẩn)") &amp; "/3)")))</f>
        <v/>
      </c>
      <c r="L187" s="25" t="n"/>
      <c r="M187" s="25" t="n"/>
      <c r="N187" s="25" t="n"/>
      <c r="O187" s="44">
        <f>IF(COUNTA(L187:N187)=0, "", IF(COUNTIF(L187:N187, "Đã có (Đạt chuẩn)")=3, "ĐỦ 3 LEVEL DASHBOARD", IF(COUNTIF(L187:N187, "Chưa có")=3, "CHƯA CÓ DASHBOARD", "THIẾU DASHBOARD (" &amp; COUNTIF(L187:N187, "Đã có (Đạt chuẩn)") &amp; "/3)")))</f>
        <v/>
      </c>
      <c r="P187" s="25" t="n"/>
      <c r="Q187" s="25" t="n"/>
      <c r="R187" s="44">
        <f>IF(C187="", "", IF(P187="Đẩy thẳng Kafka / ES (Vi phạm BLOCKER)", "VI PHẠM (BLOCKER)", IF(AND(K187="ĐỦ 3 TRỤC (100%)", O187="ĐỦ 3 LEVEL DASHBOARD", P187="Qua OTel Collector (Đúng chuẩn)"), "ĐẠT CHUẨN QG2 (PASS)", IF(AND(K187="CHƯA GẮN (0%)", O187="CHƯA CÓ DASHBOARD"), "CHƯA TRIỂN KHAI", "ĐANG HOÀN THIỆN (PENDING)"))))</f>
        <v/>
      </c>
      <c r="S187" s="24" t="n"/>
      <c r="T187" s="24" t="n"/>
      <c r="U187" s="25" t="n"/>
      <c r="V187" s="24" t="n"/>
    </row>
    <row r="188" ht="24" customHeight="1">
      <c r="A188" s="44">
        <f>IF(COUNTA(B188:C188)=0, "", COUNTA($C$6:C188))</f>
        <v/>
      </c>
      <c r="B188" s="45" t="n"/>
      <c r="C188" s="46" t="n"/>
      <c r="D188" s="47" t="n"/>
      <c r="E188" s="47" t="n"/>
      <c r="F188" s="44">
        <f>IF(E188="", "", IF(OR(E188=".NET 8 (SDK v1.5+ hỗ trợ chính thức)", E188=".NET 6 / .NET 7 (SDK v1.5+ hỗ trợ chính thức)"), "Hỗ trợ chuẩn SDK (.NET 6/7/8)", "Ngoài phạm vi SDK (Dùng OTel Native)"))</f>
        <v/>
      </c>
      <c r="G188" s="47" t="n"/>
      <c r="H188" s="47" t="n"/>
      <c r="I188" s="47" t="n"/>
      <c r="J188" s="47" t="n"/>
      <c r="K188" s="44">
        <f>IF(COUNTA(H188:J188)=0, "", IF(COUNTIF(H188:J188, "Đã hoàn thành (Đạt chuẩn)")=3, "ĐỦ 3 TRỤC (100%)", IF(COUNTIF(H188:J188, "Chưa triển khai")=3, "CHƯA GẮN (0%)", "THIẾU / CHƯA ĐẠT (" &amp; COUNTIF(H188:J188, "Đã hoàn thành (Đạt chuẩn)") &amp; "/3)")))</f>
        <v/>
      </c>
      <c r="L188" s="47" t="n"/>
      <c r="M188" s="47" t="n"/>
      <c r="N188" s="47" t="n"/>
      <c r="O188" s="44">
        <f>IF(COUNTA(L188:N188)=0, "", IF(COUNTIF(L188:N188, "Đã có (Đạt chuẩn)")=3, "ĐỦ 3 LEVEL DASHBOARD", IF(COUNTIF(L188:N188, "Chưa có")=3, "CHƯA CÓ DASHBOARD", "THIẾU DASHBOARD (" &amp; COUNTIF(L188:N188, "Đã có (Đạt chuẩn)") &amp; "/3)")))</f>
        <v/>
      </c>
      <c r="P188" s="47" t="n"/>
      <c r="Q188" s="47" t="n"/>
      <c r="R188" s="44">
        <f>IF(C188="", "", IF(P188="Đẩy thẳng Kafka / ES (Vi phạm BLOCKER)", "VI PHẠM (BLOCKER)", IF(AND(K188="ĐỦ 3 TRỤC (100%)", O188="ĐỦ 3 LEVEL DASHBOARD", P188="Qua OTel Collector (Đúng chuẩn)"), "ĐẠT CHUẨN QG2 (PASS)", IF(AND(K188="CHƯA GẮN (0%)", O188="CHƯA CÓ DASHBOARD"), "CHƯA TRIỂN KHAI", "ĐANG HOÀN THIỆN (PENDING)"))))</f>
        <v/>
      </c>
      <c r="S188" s="45" t="n"/>
      <c r="T188" s="45" t="n"/>
      <c r="U188" s="47" t="n"/>
      <c r="V188" s="45" t="n"/>
    </row>
    <row r="189" ht="24" customHeight="1">
      <c r="A189" s="44">
        <f>IF(COUNTA(B189:C189)=0, "", COUNTA($C$6:C189))</f>
        <v/>
      </c>
      <c r="B189" s="24" t="n"/>
      <c r="C189" s="48" t="n"/>
      <c r="D189" s="25" t="n"/>
      <c r="E189" s="25" t="n"/>
      <c r="F189" s="44">
        <f>IF(E189="", "", IF(OR(E189=".NET 8 (SDK v1.5+ hỗ trợ chính thức)", E189=".NET 6 / .NET 7 (SDK v1.5+ hỗ trợ chính thức)"), "Hỗ trợ chuẩn SDK (.NET 6/7/8)", "Ngoài phạm vi SDK (Dùng OTel Native)"))</f>
        <v/>
      </c>
      <c r="G189" s="25" t="n"/>
      <c r="H189" s="25" t="n"/>
      <c r="I189" s="25" t="n"/>
      <c r="J189" s="25" t="n"/>
      <c r="K189" s="44">
        <f>IF(COUNTA(H189:J189)=0, "", IF(COUNTIF(H189:J189, "Đã hoàn thành (Đạt chuẩn)")=3, "ĐỦ 3 TRỤC (100%)", IF(COUNTIF(H189:J189, "Chưa triển khai")=3, "CHƯA GẮN (0%)", "THIẾU / CHƯA ĐẠT (" &amp; COUNTIF(H189:J189, "Đã hoàn thành (Đạt chuẩn)") &amp; "/3)")))</f>
        <v/>
      </c>
      <c r="L189" s="25" t="n"/>
      <c r="M189" s="25" t="n"/>
      <c r="N189" s="25" t="n"/>
      <c r="O189" s="44">
        <f>IF(COUNTA(L189:N189)=0, "", IF(COUNTIF(L189:N189, "Đã có (Đạt chuẩn)")=3, "ĐỦ 3 LEVEL DASHBOARD", IF(COUNTIF(L189:N189, "Chưa có")=3, "CHƯA CÓ DASHBOARD", "THIẾU DASHBOARD (" &amp; COUNTIF(L189:N189, "Đã có (Đạt chuẩn)") &amp; "/3)")))</f>
        <v/>
      </c>
      <c r="P189" s="25" t="n"/>
      <c r="Q189" s="25" t="n"/>
      <c r="R189" s="44">
        <f>IF(C189="", "", IF(P189="Đẩy thẳng Kafka / ES (Vi phạm BLOCKER)", "VI PHẠM (BLOCKER)", IF(AND(K189="ĐỦ 3 TRỤC (100%)", O189="ĐỦ 3 LEVEL DASHBOARD", P189="Qua OTel Collector (Đúng chuẩn)"), "ĐẠT CHUẨN QG2 (PASS)", IF(AND(K189="CHƯA GẮN (0%)", O189="CHƯA CÓ DASHBOARD"), "CHƯA TRIỂN KHAI", "ĐANG HOÀN THIỆN (PENDING)"))))</f>
        <v/>
      </c>
      <c r="S189" s="24" t="n"/>
      <c r="T189" s="24" t="n"/>
      <c r="U189" s="25" t="n"/>
      <c r="V189" s="24" t="n"/>
    </row>
    <row r="190" ht="24" customHeight="1">
      <c r="A190" s="44">
        <f>IF(COUNTA(B190:C190)=0, "", COUNTA($C$6:C190))</f>
        <v/>
      </c>
      <c r="B190" s="45" t="n"/>
      <c r="C190" s="46" t="n"/>
      <c r="D190" s="47" t="n"/>
      <c r="E190" s="47" t="n"/>
      <c r="F190" s="44">
        <f>IF(E190="", "", IF(OR(E190=".NET 8 (SDK v1.5+ hỗ trợ chính thức)", E190=".NET 6 / .NET 7 (SDK v1.5+ hỗ trợ chính thức)"), "Hỗ trợ chuẩn SDK (.NET 6/7/8)", "Ngoài phạm vi SDK (Dùng OTel Native)"))</f>
        <v/>
      </c>
      <c r="G190" s="47" t="n"/>
      <c r="H190" s="47" t="n"/>
      <c r="I190" s="47" t="n"/>
      <c r="J190" s="47" t="n"/>
      <c r="K190" s="44">
        <f>IF(COUNTA(H190:J190)=0, "", IF(COUNTIF(H190:J190, "Đã hoàn thành (Đạt chuẩn)")=3, "ĐỦ 3 TRỤC (100%)", IF(COUNTIF(H190:J190, "Chưa triển khai")=3, "CHƯA GẮN (0%)", "THIẾU / CHƯA ĐẠT (" &amp; COUNTIF(H190:J190, "Đã hoàn thành (Đạt chuẩn)") &amp; "/3)")))</f>
        <v/>
      </c>
      <c r="L190" s="47" t="n"/>
      <c r="M190" s="47" t="n"/>
      <c r="N190" s="47" t="n"/>
      <c r="O190" s="44">
        <f>IF(COUNTA(L190:N190)=0, "", IF(COUNTIF(L190:N190, "Đã có (Đạt chuẩn)")=3, "ĐỦ 3 LEVEL DASHBOARD", IF(COUNTIF(L190:N190, "Chưa có")=3, "CHƯA CÓ DASHBOARD", "THIẾU DASHBOARD (" &amp; COUNTIF(L190:N190, "Đã có (Đạt chuẩn)") &amp; "/3)")))</f>
        <v/>
      </c>
      <c r="P190" s="47" t="n"/>
      <c r="Q190" s="47" t="n"/>
      <c r="R190" s="44">
        <f>IF(C190="", "", IF(P190="Đẩy thẳng Kafka / ES (Vi phạm BLOCKER)", "VI PHẠM (BLOCKER)", IF(AND(K190="ĐỦ 3 TRỤC (100%)", O190="ĐỦ 3 LEVEL DASHBOARD", P190="Qua OTel Collector (Đúng chuẩn)"), "ĐẠT CHUẨN QG2 (PASS)", IF(AND(K190="CHƯA GẮN (0%)", O190="CHƯA CÓ DASHBOARD"), "CHƯA TRIỂN KHAI", "ĐANG HOÀN THIỆN (PENDING)"))))</f>
        <v/>
      </c>
      <c r="S190" s="45" t="n"/>
      <c r="T190" s="45" t="n"/>
      <c r="U190" s="47" t="n"/>
      <c r="V190" s="45" t="n"/>
    </row>
    <row r="191" ht="24" customHeight="1">
      <c r="A191" s="44">
        <f>IF(COUNTA(B191:C191)=0, "", COUNTA($C$6:C191))</f>
        <v/>
      </c>
      <c r="B191" s="24" t="n"/>
      <c r="C191" s="48" t="n"/>
      <c r="D191" s="25" t="n"/>
      <c r="E191" s="25" t="n"/>
      <c r="F191" s="44">
        <f>IF(E191="", "", IF(OR(E191=".NET 8 (SDK v1.5+ hỗ trợ chính thức)", E191=".NET 6 / .NET 7 (SDK v1.5+ hỗ trợ chính thức)"), "Hỗ trợ chuẩn SDK (.NET 6/7/8)", "Ngoài phạm vi SDK (Dùng OTel Native)"))</f>
        <v/>
      </c>
      <c r="G191" s="25" t="n"/>
      <c r="H191" s="25" t="n"/>
      <c r="I191" s="25" t="n"/>
      <c r="J191" s="25" t="n"/>
      <c r="K191" s="44">
        <f>IF(COUNTA(H191:J191)=0, "", IF(COUNTIF(H191:J191, "Đã hoàn thành (Đạt chuẩn)")=3, "ĐỦ 3 TRỤC (100%)", IF(COUNTIF(H191:J191, "Chưa triển khai")=3, "CHƯA GẮN (0%)", "THIẾU / CHƯA ĐẠT (" &amp; COUNTIF(H191:J191, "Đã hoàn thành (Đạt chuẩn)") &amp; "/3)")))</f>
        <v/>
      </c>
      <c r="L191" s="25" t="n"/>
      <c r="M191" s="25" t="n"/>
      <c r="N191" s="25" t="n"/>
      <c r="O191" s="44">
        <f>IF(COUNTA(L191:N191)=0, "", IF(COUNTIF(L191:N191, "Đã có (Đạt chuẩn)")=3, "ĐỦ 3 LEVEL DASHBOARD", IF(COUNTIF(L191:N191, "Chưa có")=3, "CHƯA CÓ DASHBOARD", "THIẾU DASHBOARD (" &amp; COUNTIF(L191:N191, "Đã có (Đạt chuẩn)") &amp; "/3)")))</f>
        <v/>
      </c>
      <c r="P191" s="25" t="n"/>
      <c r="Q191" s="25" t="n"/>
      <c r="R191" s="44">
        <f>IF(C191="", "", IF(P191="Đẩy thẳng Kafka / ES (Vi phạm BLOCKER)", "VI PHẠM (BLOCKER)", IF(AND(K191="ĐỦ 3 TRỤC (100%)", O191="ĐỦ 3 LEVEL DASHBOARD", P191="Qua OTel Collector (Đúng chuẩn)"), "ĐẠT CHUẨN QG2 (PASS)", IF(AND(K191="CHƯA GẮN (0%)", O191="CHƯA CÓ DASHBOARD"), "CHƯA TRIỂN KHAI", "ĐANG HOÀN THIỆN (PENDING)"))))</f>
        <v/>
      </c>
      <c r="S191" s="24" t="n"/>
      <c r="T191" s="24" t="n"/>
      <c r="U191" s="25" t="n"/>
      <c r="V191" s="24" t="n"/>
    </row>
    <row r="192" ht="24" customHeight="1">
      <c r="A192" s="44">
        <f>IF(COUNTA(B192:C192)=0, "", COUNTA($C$6:C192))</f>
        <v/>
      </c>
      <c r="B192" s="45" t="n"/>
      <c r="C192" s="46" t="n"/>
      <c r="D192" s="47" t="n"/>
      <c r="E192" s="47" t="n"/>
      <c r="F192" s="44">
        <f>IF(E192="", "", IF(OR(E192=".NET 8 (SDK v1.5+ hỗ trợ chính thức)", E192=".NET 6 / .NET 7 (SDK v1.5+ hỗ trợ chính thức)"), "Hỗ trợ chuẩn SDK (.NET 6/7/8)", "Ngoài phạm vi SDK (Dùng OTel Native)"))</f>
        <v/>
      </c>
      <c r="G192" s="47" t="n"/>
      <c r="H192" s="47" t="n"/>
      <c r="I192" s="47" t="n"/>
      <c r="J192" s="47" t="n"/>
      <c r="K192" s="44">
        <f>IF(COUNTA(H192:J192)=0, "", IF(COUNTIF(H192:J192, "Đã hoàn thành (Đạt chuẩn)")=3, "ĐỦ 3 TRỤC (100%)", IF(COUNTIF(H192:J192, "Chưa triển khai")=3, "CHƯA GẮN (0%)", "THIẾU / CHƯA ĐẠT (" &amp; COUNTIF(H192:J192, "Đã hoàn thành (Đạt chuẩn)") &amp; "/3)")))</f>
        <v/>
      </c>
      <c r="L192" s="47" t="n"/>
      <c r="M192" s="47" t="n"/>
      <c r="N192" s="47" t="n"/>
      <c r="O192" s="44">
        <f>IF(COUNTA(L192:N192)=0, "", IF(COUNTIF(L192:N192, "Đã có (Đạt chuẩn)")=3, "ĐỦ 3 LEVEL DASHBOARD", IF(COUNTIF(L192:N192, "Chưa có")=3, "CHƯA CÓ DASHBOARD", "THIẾU DASHBOARD (" &amp; COUNTIF(L192:N192, "Đã có (Đạt chuẩn)") &amp; "/3)")))</f>
        <v/>
      </c>
      <c r="P192" s="47" t="n"/>
      <c r="Q192" s="47" t="n"/>
      <c r="R192" s="44">
        <f>IF(C192="", "", IF(P192="Đẩy thẳng Kafka / ES (Vi phạm BLOCKER)", "VI PHẠM (BLOCKER)", IF(AND(K192="ĐỦ 3 TRỤC (100%)", O192="ĐỦ 3 LEVEL DASHBOARD", P192="Qua OTel Collector (Đúng chuẩn)"), "ĐẠT CHUẨN QG2 (PASS)", IF(AND(K192="CHƯA GẮN (0%)", O192="CHƯA CÓ DASHBOARD"), "CHƯA TRIỂN KHAI", "ĐANG HOÀN THIỆN (PENDING)"))))</f>
        <v/>
      </c>
      <c r="S192" s="45" t="n"/>
      <c r="T192" s="45" t="n"/>
      <c r="U192" s="47" t="n"/>
      <c r="V192" s="45" t="n"/>
    </row>
    <row r="193" ht="24" customHeight="1">
      <c r="A193" s="44">
        <f>IF(COUNTA(B193:C193)=0, "", COUNTA($C$6:C193))</f>
        <v/>
      </c>
      <c r="B193" s="24" t="n"/>
      <c r="C193" s="48" t="n"/>
      <c r="D193" s="25" t="n"/>
      <c r="E193" s="25" t="n"/>
      <c r="F193" s="44">
        <f>IF(E193="", "", IF(OR(E193=".NET 8 (SDK v1.5+ hỗ trợ chính thức)", E193=".NET 6 / .NET 7 (SDK v1.5+ hỗ trợ chính thức)"), "Hỗ trợ chuẩn SDK (.NET 6/7/8)", "Ngoài phạm vi SDK (Dùng OTel Native)"))</f>
        <v/>
      </c>
      <c r="G193" s="25" t="n"/>
      <c r="H193" s="25" t="n"/>
      <c r="I193" s="25" t="n"/>
      <c r="J193" s="25" t="n"/>
      <c r="K193" s="44">
        <f>IF(COUNTA(H193:J193)=0, "", IF(COUNTIF(H193:J193, "Đã hoàn thành (Đạt chuẩn)")=3, "ĐỦ 3 TRỤC (100%)", IF(COUNTIF(H193:J193, "Chưa triển khai")=3, "CHƯA GẮN (0%)", "THIẾU / CHƯA ĐẠT (" &amp; COUNTIF(H193:J193, "Đã hoàn thành (Đạt chuẩn)") &amp; "/3)")))</f>
        <v/>
      </c>
      <c r="L193" s="25" t="n"/>
      <c r="M193" s="25" t="n"/>
      <c r="N193" s="25" t="n"/>
      <c r="O193" s="44">
        <f>IF(COUNTA(L193:N193)=0, "", IF(COUNTIF(L193:N193, "Đã có (Đạt chuẩn)")=3, "ĐỦ 3 LEVEL DASHBOARD", IF(COUNTIF(L193:N193, "Chưa có")=3, "CHƯA CÓ DASHBOARD", "THIẾU DASHBOARD (" &amp; COUNTIF(L193:N193, "Đã có (Đạt chuẩn)") &amp; "/3)")))</f>
        <v/>
      </c>
      <c r="P193" s="25" t="n"/>
      <c r="Q193" s="25" t="n"/>
      <c r="R193" s="44">
        <f>IF(C193="", "", IF(P193="Đẩy thẳng Kafka / ES (Vi phạm BLOCKER)", "VI PHẠM (BLOCKER)", IF(AND(K193="ĐỦ 3 TRỤC (100%)", O193="ĐỦ 3 LEVEL DASHBOARD", P193="Qua OTel Collector (Đúng chuẩn)"), "ĐẠT CHUẨN QG2 (PASS)", IF(AND(K193="CHƯA GẮN (0%)", O193="CHƯA CÓ DASHBOARD"), "CHƯA TRIỂN KHAI", "ĐANG HOÀN THIỆN (PENDING)"))))</f>
        <v/>
      </c>
      <c r="S193" s="24" t="n"/>
      <c r="T193" s="24" t="n"/>
      <c r="U193" s="25" t="n"/>
      <c r="V193" s="24" t="n"/>
    </row>
    <row r="194" ht="24" customHeight="1">
      <c r="A194" s="44">
        <f>IF(COUNTA(B194:C194)=0, "", COUNTA($C$6:C194))</f>
        <v/>
      </c>
      <c r="B194" s="45" t="n"/>
      <c r="C194" s="46" t="n"/>
      <c r="D194" s="47" t="n"/>
      <c r="E194" s="47" t="n"/>
      <c r="F194" s="44">
        <f>IF(E194="", "", IF(OR(E194=".NET 8 (SDK v1.5+ hỗ trợ chính thức)", E194=".NET 6 / .NET 7 (SDK v1.5+ hỗ trợ chính thức)"), "Hỗ trợ chuẩn SDK (.NET 6/7/8)", "Ngoài phạm vi SDK (Dùng OTel Native)"))</f>
        <v/>
      </c>
      <c r="G194" s="47" t="n"/>
      <c r="H194" s="47" t="n"/>
      <c r="I194" s="47" t="n"/>
      <c r="J194" s="47" t="n"/>
      <c r="K194" s="44">
        <f>IF(COUNTA(H194:J194)=0, "", IF(COUNTIF(H194:J194, "Đã hoàn thành (Đạt chuẩn)")=3, "ĐỦ 3 TRỤC (100%)", IF(COUNTIF(H194:J194, "Chưa triển khai")=3, "CHƯA GẮN (0%)", "THIẾU / CHƯA ĐẠT (" &amp; COUNTIF(H194:J194, "Đã hoàn thành (Đạt chuẩn)") &amp; "/3)")))</f>
        <v/>
      </c>
      <c r="L194" s="47" t="n"/>
      <c r="M194" s="47" t="n"/>
      <c r="N194" s="47" t="n"/>
      <c r="O194" s="44">
        <f>IF(COUNTA(L194:N194)=0, "", IF(COUNTIF(L194:N194, "Đã có (Đạt chuẩn)")=3, "ĐỦ 3 LEVEL DASHBOARD", IF(COUNTIF(L194:N194, "Chưa có")=3, "CHƯA CÓ DASHBOARD", "THIẾU DASHBOARD (" &amp; COUNTIF(L194:N194, "Đã có (Đạt chuẩn)") &amp; "/3)")))</f>
        <v/>
      </c>
      <c r="P194" s="47" t="n"/>
      <c r="Q194" s="47" t="n"/>
      <c r="R194" s="44">
        <f>IF(C194="", "", IF(P194="Đẩy thẳng Kafka / ES (Vi phạm BLOCKER)", "VI PHẠM (BLOCKER)", IF(AND(K194="ĐỦ 3 TRỤC (100%)", O194="ĐỦ 3 LEVEL DASHBOARD", P194="Qua OTel Collector (Đúng chuẩn)"), "ĐẠT CHUẨN QG2 (PASS)", IF(AND(K194="CHƯA GẮN (0%)", O194="CHƯA CÓ DASHBOARD"), "CHƯA TRIỂN KHAI", "ĐANG HOÀN THIỆN (PENDING)"))))</f>
        <v/>
      </c>
      <c r="S194" s="45" t="n"/>
      <c r="T194" s="45" t="n"/>
      <c r="U194" s="47" t="n"/>
      <c r="V194" s="45" t="n"/>
    </row>
    <row r="195" ht="24" customHeight="1">
      <c r="A195" s="44">
        <f>IF(COUNTA(B195:C195)=0, "", COUNTA($C$6:C195))</f>
        <v/>
      </c>
      <c r="B195" s="24" t="n"/>
      <c r="C195" s="48" t="n"/>
      <c r="D195" s="25" t="n"/>
      <c r="E195" s="25" t="n"/>
      <c r="F195" s="44">
        <f>IF(E195="", "", IF(OR(E195=".NET 8 (SDK v1.5+ hỗ trợ chính thức)", E195=".NET 6 / .NET 7 (SDK v1.5+ hỗ trợ chính thức)"), "Hỗ trợ chuẩn SDK (.NET 6/7/8)", "Ngoài phạm vi SDK (Dùng OTel Native)"))</f>
        <v/>
      </c>
      <c r="G195" s="25" t="n"/>
      <c r="H195" s="25" t="n"/>
      <c r="I195" s="25" t="n"/>
      <c r="J195" s="25" t="n"/>
      <c r="K195" s="44">
        <f>IF(COUNTA(H195:J195)=0, "", IF(COUNTIF(H195:J195, "Đã hoàn thành (Đạt chuẩn)")=3, "ĐỦ 3 TRỤC (100%)", IF(COUNTIF(H195:J195, "Chưa triển khai")=3, "CHƯA GẮN (0%)", "THIẾU / CHƯA ĐẠT (" &amp; COUNTIF(H195:J195, "Đã hoàn thành (Đạt chuẩn)") &amp; "/3)")))</f>
        <v/>
      </c>
      <c r="L195" s="25" t="n"/>
      <c r="M195" s="25" t="n"/>
      <c r="N195" s="25" t="n"/>
      <c r="O195" s="44">
        <f>IF(COUNTA(L195:N195)=0, "", IF(COUNTIF(L195:N195, "Đã có (Đạt chuẩn)")=3, "ĐỦ 3 LEVEL DASHBOARD", IF(COUNTIF(L195:N195, "Chưa có")=3, "CHƯA CÓ DASHBOARD", "THIẾU DASHBOARD (" &amp; COUNTIF(L195:N195, "Đã có (Đạt chuẩn)") &amp; "/3)")))</f>
        <v/>
      </c>
      <c r="P195" s="25" t="n"/>
      <c r="Q195" s="25" t="n"/>
      <c r="R195" s="44">
        <f>IF(C195="", "", IF(P195="Đẩy thẳng Kafka / ES (Vi phạm BLOCKER)", "VI PHẠM (BLOCKER)", IF(AND(K195="ĐỦ 3 TRỤC (100%)", O195="ĐỦ 3 LEVEL DASHBOARD", P195="Qua OTel Collector (Đúng chuẩn)"), "ĐẠT CHUẨN QG2 (PASS)", IF(AND(K195="CHƯA GẮN (0%)", O195="CHƯA CÓ DASHBOARD"), "CHƯA TRIỂN KHAI", "ĐANG HOÀN THIỆN (PENDING)"))))</f>
        <v/>
      </c>
      <c r="S195" s="24" t="n"/>
      <c r="T195" s="24" t="n"/>
      <c r="U195" s="25" t="n"/>
      <c r="V195" s="24" t="n"/>
    </row>
    <row r="196" ht="24" customHeight="1">
      <c r="A196" s="44">
        <f>IF(COUNTA(B196:C196)=0, "", COUNTA($C$6:C196))</f>
        <v/>
      </c>
      <c r="B196" s="45" t="n"/>
      <c r="C196" s="46" t="n"/>
      <c r="D196" s="47" t="n"/>
      <c r="E196" s="47" t="n"/>
      <c r="F196" s="44">
        <f>IF(E196="", "", IF(OR(E196=".NET 8 (SDK v1.5+ hỗ trợ chính thức)", E196=".NET 6 / .NET 7 (SDK v1.5+ hỗ trợ chính thức)"), "Hỗ trợ chuẩn SDK (.NET 6/7/8)", "Ngoài phạm vi SDK (Dùng OTel Native)"))</f>
        <v/>
      </c>
      <c r="G196" s="47" t="n"/>
      <c r="H196" s="47" t="n"/>
      <c r="I196" s="47" t="n"/>
      <c r="J196" s="47" t="n"/>
      <c r="K196" s="44">
        <f>IF(COUNTA(H196:J196)=0, "", IF(COUNTIF(H196:J196, "Đã hoàn thành (Đạt chuẩn)")=3, "ĐỦ 3 TRỤC (100%)", IF(COUNTIF(H196:J196, "Chưa triển khai")=3, "CHƯA GẮN (0%)", "THIẾU / CHƯA ĐẠT (" &amp; COUNTIF(H196:J196, "Đã hoàn thành (Đạt chuẩn)") &amp; "/3)")))</f>
        <v/>
      </c>
      <c r="L196" s="47" t="n"/>
      <c r="M196" s="47" t="n"/>
      <c r="N196" s="47" t="n"/>
      <c r="O196" s="44">
        <f>IF(COUNTA(L196:N196)=0, "", IF(COUNTIF(L196:N196, "Đã có (Đạt chuẩn)")=3, "ĐỦ 3 LEVEL DASHBOARD", IF(COUNTIF(L196:N196, "Chưa có")=3, "CHƯA CÓ DASHBOARD", "THIẾU DASHBOARD (" &amp; COUNTIF(L196:N196, "Đã có (Đạt chuẩn)") &amp; "/3)")))</f>
        <v/>
      </c>
      <c r="P196" s="47" t="n"/>
      <c r="Q196" s="47" t="n"/>
      <c r="R196" s="44">
        <f>IF(C196="", "", IF(P196="Đẩy thẳng Kafka / ES (Vi phạm BLOCKER)", "VI PHẠM (BLOCKER)", IF(AND(K196="ĐỦ 3 TRỤC (100%)", O196="ĐỦ 3 LEVEL DASHBOARD", P196="Qua OTel Collector (Đúng chuẩn)"), "ĐẠT CHUẨN QG2 (PASS)", IF(AND(K196="CHƯA GẮN (0%)", O196="CHƯA CÓ DASHBOARD"), "CHƯA TRIỂN KHAI", "ĐANG HOÀN THIỆN (PENDING)"))))</f>
        <v/>
      </c>
      <c r="S196" s="45" t="n"/>
      <c r="T196" s="45" t="n"/>
      <c r="U196" s="47" t="n"/>
      <c r="V196" s="45" t="n"/>
    </row>
    <row r="197" ht="24" customHeight="1">
      <c r="A197" s="44">
        <f>IF(COUNTA(B197:C197)=0, "", COUNTA($C$6:C197))</f>
        <v/>
      </c>
      <c r="B197" s="24" t="n"/>
      <c r="C197" s="48" t="n"/>
      <c r="D197" s="25" t="n"/>
      <c r="E197" s="25" t="n"/>
      <c r="F197" s="44">
        <f>IF(E197="", "", IF(OR(E197=".NET 8 (SDK v1.5+ hỗ trợ chính thức)", E197=".NET 6 / .NET 7 (SDK v1.5+ hỗ trợ chính thức)"), "Hỗ trợ chuẩn SDK (.NET 6/7/8)", "Ngoài phạm vi SDK (Dùng OTel Native)"))</f>
        <v/>
      </c>
      <c r="G197" s="25" t="n"/>
      <c r="H197" s="25" t="n"/>
      <c r="I197" s="25" t="n"/>
      <c r="J197" s="25" t="n"/>
      <c r="K197" s="44">
        <f>IF(COUNTA(H197:J197)=0, "", IF(COUNTIF(H197:J197, "Đã hoàn thành (Đạt chuẩn)")=3, "ĐỦ 3 TRỤC (100%)", IF(COUNTIF(H197:J197, "Chưa triển khai")=3, "CHƯA GẮN (0%)", "THIẾU / CHƯA ĐẠT (" &amp; COUNTIF(H197:J197, "Đã hoàn thành (Đạt chuẩn)") &amp; "/3)")))</f>
        <v/>
      </c>
      <c r="L197" s="25" t="n"/>
      <c r="M197" s="25" t="n"/>
      <c r="N197" s="25" t="n"/>
      <c r="O197" s="44">
        <f>IF(COUNTA(L197:N197)=0, "", IF(COUNTIF(L197:N197, "Đã có (Đạt chuẩn)")=3, "ĐỦ 3 LEVEL DASHBOARD", IF(COUNTIF(L197:N197, "Chưa có")=3, "CHƯA CÓ DASHBOARD", "THIẾU DASHBOARD (" &amp; COUNTIF(L197:N197, "Đã có (Đạt chuẩn)") &amp; "/3)")))</f>
        <v/>
      </c>
      <c r="P197" s="25" t="n"/>
      <c r="Q197" s="25" t="n"/>
      <c r="R197" s="44">
        <f>IF(C197="", "", IF(P197="Đẩy thẳng Kafka / ES (Vi phạm BLOCKER)", "VI PHẠM (BLOCKER)", IF(AND(K197="ĐỦ 3 TRỤC (100%)", O197="ĐỦ 3 LEVEL DASHBOARD", P197="Qua OTel Collector (Đúng chuẩn)"), "ĐẠT CHUẨN QG2 (PASS)", IF(AND(K197="CHƯA GẮN (0%)", O197="CHƯA CÓ DASHBOARD"), "CHƯA TRIỂN KHAI", "ĐANG HOÀN THIỆN (PENDING)"))))</f>
        <v/>
      </c>
      <c r="S197" s="24" t="n"/>
      <c r="T197" s="24" t="n"/>
      <c r="U197" s="25" t="n"/>
      <c r="V197" s="24" t="n"/>
    </row>
    <row r="198" ht="24" customHeight="1">
      <c r="A198" s="44">
        <f>IF(COUNTA(B198:C198)=0, "", COUNTA($C$6:C198))</f>
        <v/>
      </c>
      <c r="B198" s="45" t="n"/>
      <c r="C198" s="46" t="n"/>
      <c r="D198" s="47" t="n"/>
      <c r="E198" s="47" t="n"/>
      <c r="F198" s="44">
        <f>IF(E198="", "", IF(OR(E198=".NET 8 (SDK v1.5+ hỗ trợ chính thức)", E198=".NET 6 / .NET 7 (SDK v1.5+ hỗ trợ chính thức)"), "Hỗ trợ chuẩn SDK (.NET 6/7/8)", "Ngoài phạm vi SDK (Dùng OTel Native)"))</f>
        <v/>
      </c>
      <c r="G198" s="47" t="n"/>
      <c r="H198" s="47" t="n"/>
      <c r="I198" s="47" t="n"/>
      <c r="J198" s="47" t="n"/>
      <c r="K198" s="44">
        <f>IF(COUNTA(H198:J198)=0, "", IF(COUNTIF(H198:J198, "Đã hoàn thành (Đạt chuẩn)")=3, "ĐỦ 3 TRỤC (100%)", IF(COUNTIF(H198:J198, "Chưa triển khai")=3, "CHƯA GẮN (0%)", "THIẾU / CHƯA ĐẠT (" &amp; COUNTIF(H198:J198, "Đã hoàn thành (Đạt chuẩn)") &amp; "/3)")))</f>
        <v/>
      </c>
      <c r="L198" s="47" t="n"/>
      <c r="M198" s="47" t="n"/>
      <c r="N198" s="47" t="n"/>
      <c r="O198" s="44">
        <f>IF(COUNTA(L198:N198)=0, "", IF(COUNTIF(L198:N198, "Đã có (Đạt chuẩn)")=3, "ĐỦ 3 LEVEL DASHBOARD", IF(COUNTIF(L198:N198, "Chưa có")=3, "CHƯA CÓ DASHBOARD", "THIẾU DASHBOARD (" &amp; COUNTIF(L198:N198, "Đã có (Đạt chuẩn)") &amp; "/3)")))</f>
        <v/>
      </c>
      <c r="P198" s="47" t="n"/>
      <c r="Q198" s="47" t="n"/>
      <c r="R198" s="44">
        <f>IF(C198="", "", IF(P198="Đẩy thẳng Kafka / ES (Vi phạm BLOCKER)", "VI PHẠM (BLOCKER)", IF(AND(K198="ĐỦ 3 TRỤC (100%)", O198="ĐỦ 3 LEVEL DASHBOARD", P198="Qua OTel Collector (Đúng chuẩn)"), "ĐẠT CHUẨN QG2 (PASS)", IF(AND(K198="CHƯA GẮN (0%)", O198="CHƯA CÓ DASHBOARD"), "CHƯA TRIỂN KHAI", "ĐANG HOÀN THIỆN (PENDING)"))))</f>
        <v/>
      </c>
      <c r="S198" s="45" t="n"/>
      <c r="T198" s="45" t="n"/>
      <c r="U198" s="47" t="n"/>
      <c r="V198" s="45" t="n"/>
    </row>
    <row r="199" ht="24" customHeight="1">
      <c r="A199" s="44">
        <f>IF(COUNTA(B199:C199)=0, "", COUNTA($C$6:C199))</f>
        <v/>
      </c>
      <c r="B199" s="24" t="n"/>
      <c r="C199" s="48" t="n"/>
      <c r="D199" s="25" t="n"/>
      <c r="E199" s="25" t="n"/>
      <c r="F199" s="44">
        <f>IF(E199="", "", IF(OR(E199=".NET 8 (SDK v1.5+ hỗ trợ chính thức)", E199=".NET 6 / .NET 7 (SDK v1.5+ hỗ trợ chính thức)"), "Hỗ trợ chuẩn SDK (.NET 6/7/8)", "Ngoài phạm vi SDK (Dùng OTel Native)"))</f>
        <v/>
      </c>
      <c r="G199" s="25" t="n"/>
      <c r="H199" s="25" t="n"/>
      <c r="I199" s="25" t="n"/>
      <c r="J199" s="25" t="n"/>
      <c r="K199" s="44">
        <f>IF(COUNTA(H199:J199)=0, "", IF(COUNTIF(H199:J199, "Đã hoàn thành (Đạt chuẩn)")=3, "ĐỦ 3 TRỤC (100%)", IF(COUNTIF(H199:J199, "Chưa triển khai")=3, "CHƯA GẮN (0%)", "THIẾU / CHƯA ĐẠT (" &amp; COUNTIF(H199:J199, "Đã hoàn thành (Đạt chuẩn)") &amp; "/3)")))</f>
        <v/>
      </c>
      <c r="L199" s="25" t="n"/>
      <c r="M199" s="25" t="n"/>
      <c r="N199" s="25" t="n"/>
      <c r="O199" s="44">
        <f>IF(COUNTA(L199:N199)=0, "", IF(COUNTIF(L199:N199, "Đã có (Đạt chuẩn)")=3, "ĐỦ 3 LEVEL DASHBOARD", IF(COUNTIF(L199:N199, "Chưa có")=3, "CHƯA CÓ DASHBOARD", "THIẾU DASHBOARD (" &amp; COUNTIF(L199:N199, "Đã có (Đạt chuẩn)") &amp; "/3)")))</f>
        <v/>
      </c>
      <c r="P199" s="25" t="n"/>
      <c r="Q199" s="25" t="n"/>
      <c r="R199" s="44">
        <f>IF(C199="", "", IF(P199="Đẩy thẳng Kafka / ES (Vi phạm BLOCKER)", "VI PHẠM (BLOCKER)", IF(AND(K199="ĐỦ 3 TRỤC (100%)", O199="ĐỦ 3 LEVEL DASHBOARD", P199="Qua OTel Collector (Đúng chuẩn)"), "ĐẠT CHUẨN QG2 (PASS)", IF(AND(K199="CHƯA GẮN (0%)", O199="CHƯA CÓ DASHBOARD"), "CHƯA TRIỂN KHAI", "ĐANG HOÀN THIỆN (PENDING)"))))</f>
        <v/>
      </c>
      <c r="S199" s="24" t="n"/>
      <c r="T199" s="24" t="n"/>
      <c r="U199" s="25" t="n"/>
      <c r="V199" s="24" t="n"/>
    </row>
    <row r="200" ht="24" customHeight="1">
      <c r="A200" s="44">
        <f>IF(COUNTA(B200:C200)=0, "", COUNTA($C$6:C200))</f>
        <v/>
      </c>
      <c r="B200" s="45" t="n"/>
      <c r="C200" s="46" t="n"/>
      <c r="D200" s="47" t="n"/>
      <c r="E200" s="47" t="n"/>
      <c r="F200" s="44">
        <f>IF(E200="", "", IF(OR(E200=".NET 8 (SDK v1.5+ hỗ trợ chính thức)", E200=".NET 6 / .NET 7 (SDK v1.5+ hỗ trợ chính thức)"), "Hỗ trợ chuẩn SDK (.NET 6/7/8)", "Ngoài phạm vi SDK (Dùng OTel Native)"))</f>
        <v/>
      </c>
      <c r="G200" s="47" t="n"/>
      <c r="H200" s="47" t="n"/>
      <c r="I200" s="47" t="n"/>
      <c r="J200" s="47" t="n"/>
      <c r="K200" s="44">
        <f>IF(COUNTA(H200:J200)=0, "", IF(COUNTIF(H200:J200, "Đã hoàn thành (Đạt chuẩn)")=3, "ĐỦ 3 TRỤC (100%)", IF(COUNTIF(H200:J200, "Chưa triển khai")=3, "CHƯA GẮN (0%)", "THIẾU / CHƯA ĐẠT (" &amp; COUNTIF(H200:J200, "Đã hoàn thành (Đạt chuẩn)") &amp; "/3)")))</f>
        <v/>
      </c>
      <c r="L200" s="47" t="n"/>
      <c r="M200" s="47" t="n"/>
      <c r="N200" s="47" t="n"/>
      <c r="O200" s="44">
        <f>IF(COUNTA(L200:N200)=0, "", IF(COUNTIF(L200:N200, "Đã có (Đạt chuẩn)")=3, "ĐỦ 3 LEVEL DASHBOARD", IF(COUNTIF(L200:N200, "Chưa có")=3, "CHƯA CÓ DASHBOARD", "THIẾU DASHBOARD (" &amp; COUNTIF(L200:N200, "Đã có (Đạt chuẩn)") &amp; "/3)")))</f>
        <v/>
      </c>
      <c r="P200" s="47" t="n"/>
      <c r="Q200" s="47" t="n"/>
      <c r="R200" s="44">
        <f>IF(C200="", "", IF(P200="Đẩy thẳng Kafka / ES (Vi phạm BLOCKER)", "VI PHẠM (BLOCKER)", IF(AND(K200="ĐỦ 3 TRỤC (100%)", O200="ĐỦ 3 LEVEL DASHBOARD", P200="Qua OTel Collector (Đúng chuẩn)"), "ĐẠT CHUẨN QG2 (PASS)", IF(AND(K200="CHƯA GẮN (0%)", O200="CHƯA CÓ DASHBOARD"), "CHƯA TRIỂN KHAI", "ĐANG HOÀN THIỆN (PENDING)"))))</f>
        <v/>
      </c>
      <c r="S200" s="45" t="n"/>
      <c r="T200" s="45" t="n"/>
      <c r="U200" s="47" t="n"/>
      <c r="V200" s="45" t="n"/>
    </row>
    <row r="201" ht="24" customHeight="1">
      <c r="A201" s="44">
        <f>IF(COUNTA(B201:C201)=0, "", COUNTA($C$6:C201))</f>
        <v/>
      </c>
      <c r="B201" s="24" t="n"/>
      <c r="C201" s="48" t="n"/>
      <c r="D201" s="25" t="n"/>
      <c r="E201" s="25" t="n"/>
      <c r="F201" s="44">
        <f>IF(E201="", "", IF(OR(E201=".NET 8 (SDK v1.5+ hỗ trợ chính thức)", E201=".NET 6 / .NET 7 (SDK v1.5+ hỗ trợ chính thức)"), "Hỗ trợ chuẩn SDK (.NET 6/7/8)", "Ngoài phạm vi SDK (Dùng OTel Native)"))</f>
        <v/>
      </c>
      <c r="G201" s="25" t="n"/>
      <c r="H201" s="25" t="n"/>
      <c r="I201" s="25" t="n"/>
      <c r="J201" s="25" t="n"/>
      <c r="K201" s="44">
        <f>IF(COUNTA(H201:J201)=0, "", IF(COUNTIF(H201:J201, "Đã hoàn thành (Đạt chuẩn)")=3, "ĐỦ 3 TRỤC (100%)", IF(COUNTIF(H201:J201, "Chưa triển khai")=3, "CHƯA GẮN (0%)", "THIẾU / CHƯA ĐẠT (" &amp; COUNTIF(H201:J201, "Đã hoàn thành (Đạt chuẩn)") &amp; "/3)")))</f>
        <v/>
      </c>
      <c r="L201" s="25" t="n"/>
      <c r="M201" s="25" t="n"/>
      <c r="N201" s="25" t="n"/>
      <c r="O201" s="44">
        <f>IF(COUNTA(L201:N201)=0, "", IF(COUNTIF(L201:N201, "Đã có (Đạt chuẩn)")=3, "ĐỦ 3 LEVEL DASHBOARD", IF(COUNTIF(L201:N201, "Chưa có")=3, "CHƯA CÓ DASHBOARD", "THIẾU DASHBOARD (" &amp; COUNTIF(L201:N201, "Đã có (Đạt chuẩn)") &amp; "/3)")))</f>
        <v/>
      </c>
      <c r="P201" s="25" t="n"/>
      <c r="Q201" s="25" t="n"/>
      <c r="R201" s="44">
        <f>IF(C201="", "", IF(P201="Đẩy thẳng Kafka / ES (Vi phạm BLOCKER)", "VI PHẠM (BLOCKER)", IF(AND(K201="ĐỦ 3 TRỤC (100%)", O201="ĐỦ 3 LEVEL DASHBOARD", P201="Qua OTel Collector (Đúng chuẩn)"), "ĐẠT CHUẨN QG2 (PASS)", IF(AND(K201="CHƯA GẮN (0%)", O201="CHƯA CÓ DASHBOARD"), "CHƯA TRIỂN KHAI", "ĐANG HOÀN THIỆN (PENDING)"))))</f>
        <v/>
      </c>
      <c r="S201" s="24" t="n"/>
      <c r="T201" s="24" t="n"/>
      <c r="U201" s="25" t="n"/>
      <c r="V201" s="24" t="n"/>
    </row>
    <row r="202" ht="24" customHeight="1">
      <c r="A202" s="44">
        <f>IF(COUNTA(B202:C202)=0, "", COUNTA($C$6:C202))</f>
        <v/>
      </c>
      <c r="B202" s="45" t="n"/>
      <c r="C202" s="46" t="n"/>
      <c r="D202" s="47" t="n"/>
      <c r="E202" s="47" t="n"/>
      <c r="F202" s="44">
        <f>IF(E202="", "", IF(OR(E202=".NET 8 (SDK v1.5+ hỗ trợ chính thức)", E202=".NET 6 / .NET 7 (SDK v1.5+ hỗ trợ chính thức)"), "Hỗ trợ chuẩn SDK (.NET 6/7/8)", "Ngoài phạm vi SDK (Dùng OTel Native)"))</f>
        <v/>
      </c>
      <c r="G202" s="47" t="n"/>
      <c r="H202" s="47" t="n"/>
      <c r="I202" s="47" t="n"/>
      <c r="J202" s="47" t="n"/>
      <c r="K202" s="44">
        <f>IF(COUNTA(H202:J202)=0, "", IF(COUNTIF(H202:J202, "Đã hoàn thành (Đạt chuẩn)")=3, "ĐỦ 3 TRỤC (100%)", IF(COUNTIF(H202:J202, "Chưa triển khai")=3, "CHƯA GẮN (0%)", "THIẾU / CHƯA ĐẠT (" &amp; COUNTIF(H202:J202, "Đã hoàn thành (Đạt chuẩn)") &amp; "/3)")))</f>
        <v/>
      </c>
      <c r="L202" s="47" t="n"/>
      <c r="M202" s="47" t="n"/>
      <c r="N202" s="47" t="n"/>
      <c r="O202" s="44">
        <f>IF(COUNTA(L202:N202)=0, "", IF(COUNTIF(L202:N202, "Đã có (Đạt chuẩn)")=3, "ĐỦ 3 LEVEL DASHBOARD", IF(COUNTIF(L202:N202, "Chưa có")=3, "CHƯA CÓ DASHBOARD", "THIẾU DASHBOARD (" &amp; COUNTIF(L202:N202, "Đã có (Đạt chuẩn)") &amp; "/3)")))</f>
        <v/>
      </c>
      <c r="P202" s="47" t="n"/>
      <c r="Q202" s="47" t="n"/>
      <c r="R202" s="44">
        <f>IF(C202="", "", IF(P202="Đẩy thẳng Kafka / ES (Vi phạm BLOCKER)", "VI PHẠM (BLOCKER)", IF(AND(K202="ĐỦ 3 TRỤC (100%)", O202="ĐỦ 3 LEVEL DASHBOARD", P202="Qua OTel Collector (Đúng chuẩn)"), "ĐẠT CHUẨN QG2 (PASS)", IF(AND(K202="CHƯA GẮN (0%)", O202="CHƯA CÓ DASHBOARD"), "CHƯA TRIỂN KHAI", "ĐANG HOÀN THIỆN (PENDING)"))))</f>
        <v/>
      </c>
      <c r="S202" s="45" t="n"/>
      <c r="T202" s="45" t="n"/>
      <c r="U202" s="47" t="n"/>
      <c r="V202" s="45" t="n"/>
    </row>
    <row r="203" ht="24" customHeight="1">
      <c r="A203" s="44">
        <f>IF(COUNTA(B203:C203)=0, "", COUNTA($C$6:C203))</f>
        <v/>
      </c>
      <c r="B203" s="24" t="n"/>
      <c r="C203" s="48" t="n"/>
      <c r="D203" s="25" t="n"/>
      <c r="E203" s="25" t="n"/>
      <c r="F203" s="44">
        <f>IF(E203="", "", IF(OR(E203=".NET 8 (SDK v1.5+ hỗ trợ chính thức)", E203=".NET 6 / .NET 7 (SDK v1.5+ hỗ trợ chính thức)"), "Hỗ trợ chuẩn SDK (.NET 6/7/8)", "Ngoài phạm vi SDK (Dùng OTel Native)"))</f>
        <v/>
      </c>
      <c r="G203" s="25" t="n"/>
      <c r="H203" s="25" t="n"/>
      <c r="I203" s="25" t="n"/>
      <c r="J203" s="25" t="n"/>
      <c r="K203" s="44">
        <f>IF(COUNTA(H203:J203)=0, "", IF(COUNTIF(H203:J203, "Đã hoàn thành (Đạt chuẩn)")=3, "ĐỦ 3 TRỤC (100%)", IF(COUNTIF(H203:J203, "Chưa triển khai")=3, "CHƯA GẮN (0%)", "THIẾU / CHƯA ĐẠT (" &amp; COUNTIF(H203:J203, "Đã hoàn thành (Đạt chuẩn)") &amp; "/3)")))</f>
        <v/>
      </c>
      <c r="L203" s="25" t="n"/>
      <c r="M203" s="25" t="n"/>
      <c r="N203" s="25" t="n"/>
      <c r="O203" s="44">
        <f>IF(COUNTA(L203:N203)=0, "", IF(COUNTIF(L203:N203, "Đã có (Đạt chuẩn)")=3, "ĐỦ 3 LEVEL DASHBOARD", IF(COUNTIF(L203:N203, "Chưa có")=3, "CHƯA CÓ DASHBOARD", "THIẾU DASHBOARD (" &amp; COUNTIF(L203:N203, "Đã có (Đạt chuẩn)") &amp; "/3)")))</f>
        <v/>
      </c>
      <c r="P203" s="25" t="n"/>
      <c r="Q203" s="25" t="n"/>
      <c r="R203" s="44">
        <f>IF(C203="", "", IF(P203="Đẩy thẳng Kafka / ES (Vi phạm BLOCKER)", "VI PHẠM (BLOCKER)", IF(AND(K203="ĐỦ 3 TRỤC (100%)", O203="ĐỦ 3 LEVEL DASHBOARD", P203="Qua OTel Collector (Đúng chuẩn)"), "ĐẠT CHUẨN QG2 (PASS)", IF(AND(K203="CHƯA GẮN (0%)", O203="CHƯA CÓ DASHBOARD"), "CHƯA TRIỂN KHAI", "ĐANG HOÀN THIỆN (PENDING)"))))</f>
        <v/>
      </c>
      <c r="S203" s="24" t="n"/>
      <c r="T203" s="24" t="n"/>
      <c r="U203" s="25" t="n"/>
      <c r="V203" s="24" t="n"/>
    </row>
    <row r="204" ht="24" customHeight="1">
      <c r="A204" s="44">
        <f>IF(COUNTA(B204:C204)=0, "", COUNTA($C$6:C204))</f>
        <v/>
      </c>
      <c r="B204" s="45" t="n"/>
      <c r="C204" s="46" t="n"/>
      <c r="D204" s="47" t="n"/>
      <c r="E204" s="47" t="n"/>
      <c r="F204" s="44">
        <f>IF(E204="", "", IF(OR(E204=".NET 8 (SDK v1.5+ hỗ trợ chính thức)", E204=".NET 6 / .NET 7 (SDK v1.5+ hỗ trợ chính thức)"), "Hỗ trợ chuẩn SDK (.NET 6/7/8)", "Ngoài phạm vi SDK (Dùng OTel Native)"))</f>
        <v/>
      </c>
      <c r="G204" s="47" t="n"/>
      <c r="H204" s="47" t="n"/>
      <c r="I204" s="47" t="n"/>
      <c r="J204" s="47" t="n"/>
      <c r="K204" s="44">
        <f>IF(COUNTA(H204:J204)=0, "", IF(COUNTIF(H204:J204, "Đã hoàn thành (Đạt chuẩn)")=3, "ĐỦ 3 TRỤC (100%)", IF(COUNTIF(H204:J204, "Chưa triển khai")=3, "CHƯA GẮN (0%)", "THIẾU / CHƯA ĐẠT (" &amp; COUNTIF(H204:J204, "Đã hoàn thành (Đạt chuẩn)") &amp; "/3)")))</f>
        <v/>
      </c>
      <c r="L204" s="47" t="n"/>
      <c r="M204" s="47" t="n"/>
      <c r="N204" s="47" t="n"/>
      <c r="O204" s="44">
        <f>IF(COUNTA(L204:N204)=0, "", IF(COUNTIF(L204:N204, "Đã có (Đạt chuẩn)")=3, "ĐỦ 3 LEVEL DASHBOARD", IF(COUNTIF(L204:N204, "Chưa có")=3, "CHƯA CÓ DASHBOARD", "THIẾU DASHBOARD (" &amp; COUNTIF(L204:N204, "Đã có (Đạt chuẩn)") &amp; "/3)")))</f>
        <v/>
      </c>
      <c r="P204" s="47" t="n"/>
      <c r="Q204" s="47" t="n"/>
      <c r="R204" s="44">
        <f>IF(C204="", "", IF(P204="Đẩy thẳng Kafka / ES (Vi phạm BLOCKER)", "VI PHẠM (BLOCKER)", IF(AND(K204="ĐỦ 3 TRỤC (100%)", O204="ĐỦ 3 LEVEL DASHBOARD", P204="Qua OTel Collector (Đúng chuẩn)"), "ĐẠT CHUẨN QG2 (PASS)", IF(AND(K204="CHƯA GẮN (0%)", O204="CHƯA CÓ DASHBOARD"), "CHƯA TRIỂN KHAI", "ĐANG HOÀN THIỆN (PENDING)"))))</f>
        <v/>
      </c>
      <c r="S204" s="45" t="n"/>
      <c r="T204" s="45" t="n"/>
      <c r="U204" s="47" t="n"/>
      <c r="V204" s="45" t="n"/>
    </row>
    <row r="205" ht="24" customHeight="1">
      <c r="A205" s="44">
        <f>IF(COUNTA(B205:C205)=0, "", COUNTA($C$6:C205))</f>
        <v/>
      </c>
      <c r="B205" s="24" t="n"/>
      <c r="C205" s="48" t="n"/>
      <c r="D205" s="25" t="n"/>
      <c r="E205" s="25" t="n"/>
      <c r="F205" s="44">
        <f>IF(E205="", "", IF(OR(E205=".NET 8 (SDK v1.5+ hỗ trợ chính thức)", E205=".NET 6 / .NET 7 (SDK v1.5+ hỗ trợ chính thức)"), "Hỗ trợ chuẩn SDK (.NET 6/7/8)", "Ngoài phạm vi SDK (Dùng OTel Native)"))</f>
        <v/>
      </c>
      <c r="G205" s="25" t="n"/>
      <c r="H205" s="25" t="n"/>
      <c r="I205" s="25" t="n"/>
      <c r="J205" s="25" t="n"/>
      <c r="K205" s="44">
        <f>IF(COUNTA(H205:J205)=0, "", IF(COUNTIF(H205:J205, "Đã hoàn thành (Đạt chuẩn)")=3, "ĐỦ 3 TRỤC (100%)", IF(COUNTIF(H205:J205, "Chưa triển khai")=3, "CHƯA GẮN (0%)", "THIẾU / CHƯA ĐẠT (" &amp; COUNTIF(H205:J205, "Đã hoàn thành (Đạt chuẩn)") &amp; "/3)")))</f>
        <v/>
      </c>
      <c r="L205" s="25" t="n"/>
      <c r="M205" s="25" t="n"/>
      <c r="N205" s="25" t="n"/>
      <c r="O205" s="44">
        <f>IF(COUNTA(L205:N205)=0, "", IF(COUNTIF(L205:N205, "Đã có (Đạt chuẩn)")=3, "ĐỦ 3 LEVEL DASHBOARD", IF(COUNTIF(L205:N205, "Chưa có")=3, "CHƯA CÓ DASHBOARD", "THIẾU DASHBOARD (" &amp; COUNTIF(L205:N205, "Đã có (Đạt chuẩn)") &amp; "/3)")))</f>
        <v/>
      </c>
      <c r="P205" s="25" t="n"/>
      <c r="Q205" s="25" t="n"/>
      <c r="R205" s="44">
        <f>IF(C205="", "", IF(P205="Đẩy thẳng Kafka / ES (Vi phạm BLOCKER)", "VI PHẠM (BLOCKER)", IF(AND(K205="ĐỦ 3 TRỤC (100%)", O205="ĐỦ 3 LEVEL DASHBOARD", P205="Qua OTel Collector (Đúng chuẩn)"), "ĐẠT CHUẨN QG2 (PASS)", IF(AND(K205="CHƯA GẮN (0%)", O205="CHƯA CÓ DASHBOARD"), "CHƯA TRIỂN KHAI", "ĐANG HOÀN THIỆN (PENDING)"))))</f>
        <v/>
      </c>
      <c r="S205" s="24" t="n"/>
      <c r="T205" s="24" t="n"/>
      <c r="U205" s="25" t="n"/>
      <c r="V205" s="24" t="n"/>
    </row>
  </sheetData>
  <autoFilter ref="A5:V205"/>
  <mergeCells count="7">
    <mergeCell ref="A2:V2"/>
    <mergeCell ref="S3:V3"/>
    <mergeCell ref="A3:G3"/>
    <mergeCell ref="A1:V1"/>
    <mergeCell ref="L3:O3"/>
    <mergeCell ref="H3:K3"/>
    <mergeCell ref="P3:R3"/>
  </mergeCells>
  <conditionalFormatting sqref="F6:R205">
    <cfRule type="cellIs" priority="1" operator="equal" dxfId="0" stopIfTrue="1">
      <formula>"Đã hoàn thành (Đạt chuẩn)"</formula>
    </cfRule>
    <cfRule type="cellIs" priority="2" operator="equal" dxfId="0" stopIfTrue="1">
      <formula>"Đã có (Đạt chuẩn)"</formula>
    </cfRule>
    <cfRule type="cellIs" priority="3" operator="equal" dxfId="0" stopIfTrue="1">
      <formula>"ĐỦ 3 TRỤC (100%)"</formula>
    </cfRule>
    <cfRule type="cellIs" priority="4" operator="equal" dxfId="0" stopIfTrue="1">
      <formula>"ĐỦ 3 LEVEL DASHBOARD"</formula>
    </cfRule>
    <cfRule type="cellIs" priority="5" operator="equal" dxfId="0" stopIfTrue="1">
      <formula>"Qua OTel Collector (Đúng chuẩn)"</formula>
    </cfRule>
    <cfRule type="cellIs" priority="6" operator="equal" dxfId="0" stopIfTrue="1">
      <formula>"Đã ghi nhận (= 1)"</formula>
    </cfRule>
    <cfRule type="cellIs" priority="7" operator="equal" dxfId="0" stopIfTrue="1">
      <formula>"ĐẠT CHUẨN QG2 (PASS)"</formula>
    </cfRule>
    <cfRule type="cellIs" priority="8" operator="equal" dxfId="0" stopIfTrue="1">
      <formula>"Hỗ trợ chuẩn SDK (.NET 6/7/8)"</formula>
    </cfRule>
    <cfRule type="cellIs" priority="9" operator="equal" dxfId="0" stopIfTrue="1">
      <formula>"Đã cài SDK ISC.Observability (.NET 6/7/8)"</formula>
    </cfRule>
    <cfRule type="cellIs" priority="10" operator="equal" dxfId="1" stopIfTrue="1">
      <formula>"Đẩy thẳng Kafka / ES (Vi phạm BLOCKER)"</formula>
    </cfRule>
    <cfRule type="cellIs" priority="11" operator="equal" dxfId="1" stopIfTrue="1">
      <formula>"VI PHẠM (BLOCKER)"</formula>
    </cfRule>
    <cfRule type="cellIs" priority="12" operator="equal" dxfId="1" stopIfTrue="1">
      <formula>"Chưa ghi nhận (= 0)"</formula>
    </cfRule>
    <cfRule type="cellIs" priority="13" operator="equal" dxfId="2" stopIfTrue="1">
      <formula>"Đã gắn (Chưa đạt chuẩn)"</formula>
    </cfRule>
    <cfRule type="cellIs" priority="14" operator="equal" dxfId="2" stopIfTrue="1">
      <formula>"Đang triển khai"</formula>
    </cfRule>
    <cfRule type="cellIs" priority="15" operator="equal" dxfId="2" stopIfTrue="1">
      <formula>"Đang xây dựng"</formula>
    </cfRule>
    <cfRule type="cellIs" priority="16" operator="equal" dxfId="2" stopIfTrue="1">
      <formula>"ĐANG HOÀN THIỆN (PENDING)"</formula>
    </cfRule>
    <cfRule type="cellIs" priority="17" operator="equal" dxfId="2" stopIfTrue="1">
      <formula>"Ngoài phạm vi SDK (Dùng OTel Native)"</formula>
    </cfRule>
    <cfRule type="cellIs" priority="18" operator="equal" dxfId="2" stopIfTrue="1">
      <formula>"Chỉ mới xuất Console"</formula>
    </cfRule>
    <cfRule type="cellIs" priority="19" operator="equal" dxfId="3" stopIfTrue="1">
      <formula>"Chưa triển khai"</formula>
    </cfRule>
    <cfRule type="cellIs" priority="20" operator="equal" dxfId="3" stopIfTrue="1">
      <formula>"Chưa có"</formula>
    </cfRule>
    <cfRule type="cellIs" priority="21" operator="equal" dxfId="3" stopIfTrue="1">
      <formula>"CHƯA GẮN (0%)"</formula>
    </cfRule>
    <cfRule type="cellIs" priority="22" operator="equal" dxfId="3" stopIfTrue="1">
      <formula>"CHƯA CÓ DASHBOARD"</formula>
    </cfRule>
    <cfRule type="cellIs" priority="23" operator="equal" dxfId="3" stopIfTrue="1">
      <formula>"CHƯA TRIỂN KHAI"</formula>
    </cfRule>
    <cfRule type="cellIs" priority="24" operator="equal" dxfId="3" stopIfTrue="1">
      <formula>"Chưa cấu hình"</formula>
    </cfRule>
    <cfRule type="cellIs" priority="25" operator="equal" dxfId="3" stopIfTrue="1">
      <formula>"Chưa tích hợp"</formula>
    </cfRule>
  </conditionalFormatting>
  <dataValidations count="11">
    <dataValidation sqref="D6:D205" showDropDown="0" showInputMessage="0" showErrorMessage="0" allowBlank="1" promptTitle="Chọn Môi trường" prompt="Vui lòng chọn môi trường từ danh sách" type="list">
      <formula1>='03_DANH_MUC_CHUAN'!$B$4:$B$7</formula1>
    </dataValidation>
    <dataValidation sqref="E6:E205" showDropDown="0" showInputMessage="0" showErrorMessage="0" allowBlank="1" promptTitle="Chọn Tech Stack" prompt="SDK v1.5.0+ hỗ trợ chính thức .NET 6, .NET 7 và .NET 8" type="list">
      <formula1>='03_DANH_MUC_CHUAN'!$A$4:$A$11</formula1>
    </dataValidation>
    <dataValidation sqref="G6:G205" showDropDown="0" showInputMessage="0" showErrorMessage="0" allowBlank="1" promptTitle="Chọn Phương thức tích hợp" prompt="Chọn phương thức tích hợp" type="list">
      <formula1>='03_DANH_MUC_CHUAN'!$C$4:$C$7</formula1>
    </dataValidation>
    <dataValidation sqref="H6:H205" showDropDown="0" showInputMessage="0" showErrorMessage="0" allowBlank="1" promptTitle="Trạng thái Logging" prompt="Chọn trạng thái triển khai trục Logging" type="list">
      <formula1>='03_DANH_MUC_CHUAN'!$D$4:$D$7</formula1>
    </dataValidation>
    <dataValidation sqref="I6:I205" showDropDown="0" showInputMessage="0" showErrorMessage="0" allowBlank="1" promptTitle="Trạng thái Tracing" prompt="Chọn trạng thái triển khai trục Tracing" type="list">
      <formula1>='03_DANH_MUC_CHUAN'!$D$4:$D$7</formula1>
    </dataValidation>
    <dataValidation sqref="J6:J205" showDropDown="0" showInputMessage="0" showErrorMessage="0" allowBlank="1" promptTitle="Trạng thái Metrics" prompt="Chọn trạng thái triển khai trục Metrics" type="list">
      <formula1>='03_DANH_MUC_CHUAN'!$D$4:$D$7</formula1>
    </dataValidation>
    <dataValidation sqref="L6:L205" showDropDown="0" showInputMessage="0" showErrorMessage="0" allowBlank="1" promptTitle="Dashboard Level 1" prompt="Chọn trạng thái Dashboard Level 1 (Executive)" type="list">
      <formula1>='03_DANH_MUC_CHUAN'!$E$4:$E$6</formula1>
    </dataValidation>
    <dataValidation sqref="M6:M205" showDropDown="0" showInputMessage="0" showErrorMessage="0" allowBlank="1" promptTitle="Dashboard Level 2" prompt="Chọn trạng thái Dashboard Level 2 (Developer)" type="list">
      <formula1>='03_DANH_MUC_CHUAN'!$E$4:$E$6</formula1>
    </dataValidation>
    <dataValidation sqref="N6:N205" showDropDown="0" showInputMessage="0" showErrorMessage="0" allowBlank="1" promptTitle="Dashboard Level 3" prompt="Chọn trạng thái Dashboard Level 3 (Infra &amp; Runtime)" type="list">
      <formula1>='03_DANH_MUC_CHUAN'!$E$4:$E$6</formula1>
    </dataValidation>
    <dataValidation sqref="P6:P205" showDropDown="0" showInputMessage="0" showErrorMessage="0" allowBlank="1" promptTitle="Đường truyền Telemetry" prompt="Chọn kiến trúc đường truyền OTLP" type="list">
      <formula1>='03_DANH_MUC_CHUAN'!$F$4:$F$7</formula1>
    </dataValidation>
    <dataValidation sqref="Q6:Q205" showDropDown="0" showInputMessage="0" showErrorMessage="0" allowBlank="1" promptTitle="Tín hiệu SDK Active" prompt="Kiểm tra metric observability.sdk.active = 1" type="list">
      <formula1>='03_DANH_MUC_CHUAN'!$G$4:$G$6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0" customWidth="1" min="4" max="4"/>
    <col width="28" customWidth="1" min="5" max="5"/>
    <col width="34" customWidth="1" min="6" max="6"/>
    <col width="26" customWidth="1" min="7" max="7"/>
  </cols>
  <sheetData>
    <row r="1" ht="36" customHeight="1">
      <c r="A1" s="1" t="inlineStr">
        <is>
          <t>DANH MỤC CHUẨN HÓA (DÙNG CHO DROPDOWN LIST) &amp; TIÊU CHÍ THAM CHIẾU QUY ĐỊNH OBSERVABILITY</t>
        </is>
      </c>
    </row>
    <row r="3" ht="28" customHeight="1">
      <c r="A3" s="31" t="inlineStr">
        <is>
          <t>Danh mục Tech Stack</t>
        </is>
      </c>
      <c r="B3" s="31" t="inlineStr">
        <is>
          <t>Danh mục Môi trường</t>
        </is>
      </c>
      <c r="C3" s="31" t="inlineStr">
        <is>
          <t>Phương thức Tích hợp</t>
        </is>
      </c>
      <c r="D3" s="31" t="inlineStr">
        <is>
          <t>Trạng thái 3 Trục (Log/Trace/Metric)</t>
        </is>
      </c>
      <c r="E3" s="31" t="inlineStr">
        <is>
          <t>Trạng thái 3 Level Dashboard</t>
        </is>
      </c>
      <c r="F3" s="31" t="inlineStr">
        <is>
          <t>Đường truyền Telemetry</t>
        </is>
      </c>
      <c r="G3" s="31" t="inlineStr">
        <is>
          <t>Metric SDK Active (=1)</t>
        </is>
      </c>
    </row>
    <row r="4" ht="22" customHeight="1">
      <c r="A4" s="49" t="inlineStr">
        <is>
          <t>.NET 8 (SDK v1.5+ hỗ trợ chính thức)</t>
        </is>
      </c>
      <c r="B4" s="49" t="inlineStr">
        <is>
          <t>Production</t>
        </is>
      </c>
      <c r="C4" s="49" t="inlineStr">
        <is>
          <t>Đã cài SDK ISC.Observability (.NET 6/7/8)</t>
        </is>
      </c>
      <c r="D4" s="49" t="inlineStr">
        <is>
          <t>Đã hoàn thành (Đạt chuẩn)</t>
        </is>
      </c>
      <c r="E4" s="49" t="inlineStr">
        <is>
          <t>Đã có (Đạt chuẩn)</t>
        </is>
      </c>
      <c r="F4" s="49" t="inlineStr">
        <is>
          <t>Qua OTel Collector (Đúng chuẩn)</t>
        </is>
      </c>
      <c r="G4" s="49" t="inlineStr">
        <is>
          <t>Đã ghi nhận (= 1)</t>
        </is>
      </c>
    </row>
    <row r="5" ht="22" customHeight="1">
      <c r="A5" s="49" t="inlineStr">
        <is>
          <t>.NET 6 / .NET 7 (SDK v1.5+ hỗ trợ chính thức)</t>
        </is>
      </c>
      <c r="B5" s="49" t="inlineStr">
        <is>
          <t>Staging / UAT</t>
        </is>
      </c>
      <c r="C5" s="49" t="inlineStr">
        <is>
          <t>Cấu hình OTel Native (Biến môi trường)</t>
        </is>
      </c>
      <c r="D5" s="49" t="inlineStr">
        <is>
          <t>Đã gắn (Chưa đạt chuẩn)</t>
        </is>
      </c>
      <c r="E5" s="49" t="inlineStr">
        <is>
          <t>Đang xây dựng</t>
        </is>
      </c>
      <c r="F5" s="49" t="inlineStr">
        <is>
          <t>Đẩy thẳng Kafka / ES (Vi phạm BLOCKER)</t>
        </is>
      </c>
      <c r="G5" s="49" t="inlineStr">
        <is>
          <t>Chưa ghi nhận (= 0)</t>
        </is>
      </c>
    </row>
    <row r="6" ht="22" customHeight="1">
      <c r="A6" s="49" t="inlineStr">
        <is>
          <t>.NET Framework (Legacy)</t>
        </is>
      </c>
      <c r="B6" s="49" t="inlineStr">
        <is>
          <t>Development / SIT</t>
        </is>
      </c>
      <c r="C6" s="49" t="inlineStr">
        <is>
          <t>Đang tích hợp</t>
        </is>
      </c>
      <c r="D6" s="49" t="inlineStr">
        <is>
          <t>Đang triển khai</t>
        </is>
      </c>
      <c r="E6" s="49" t="inlineStr">
        <is>
          <t>Chưa có</t>
        </is>
      </c>
      <c r="F6" s="49" t="inlineStr">
        <is>
          <t>Chỉ mới xuất Console</t>
        </is>
      </c>
      <c r="G6" s="49" t="inlineStr">
        <is>
          <t>N/A (Ngoài .NET 6/7/8)</t>
        </is>
      </c>
    </row>
    <row r="7" ht="22" customHeight="1">
      <c r="A7" s="49" t="inlineStr">
        <is>
          <t>Node.js / NestJS</t>
        </is>
      </c>
      <c r="B7" s="49" t="inlineStr">
        <is>
          <t>Chưa triển khai</t>
        </is>
      </c>
      <c r="C7" s="49" t="inlineStr">
        <is>
          <t>Chưa tích hợp</t>
        </is>
      </c>
      <c r="D7" s="49" t="inlineStr">
        <is>
          <t>Chưa triển khai</t>
        </is>
      </c>
      <c r="F7" s="49" t="inlineStr">
        <is>
          <t>Chưa cấu hình</t>
        </is>
      </c>
    </row>
    <row r="8" ht="22" customHeight="1">
      <c r="A8" s="49" t="inlineStr">
        <is>
          <t>Python (FastAPI / Django)</t>
        </is>
      </c>
    </row>
    <row r="9" ht="22" customHeight="1">
      <c r="A9" s="49" t="inlineStr">
        <is>
          <t>Go (Golang)</t>
        </is>
      </c>
    </row>
    <row r="10" ht="22" customHeight="1">
      <c r="A10" s="49" t="inlineStr">
        <is>
          <t>Java / Spring Boot</t>
        </is>
      </c>
    </row>
    <row r="11" ht="22" customHeight="1">
      <c r="A11" s="49" t="inlineStr">
        <is>
          <t>Khác</t>
        </is>
      </c>
    </row>
    <row r="14" ht="28" customHeight="1">
      <c r="A14" s="50" t="inlineStr">
        <is>
          <t>BẢNG TÓM TẮT TIÊU CHÍ ĐÁNH GIÁ TUÂN THỦ (TRÍCH XUẤT TỪ QUY ĐỊNH ISC OBSERVABILITY v1.0)</t>
        </is>
      </c>
    </row>
    <row r="15" ht="26" customHeight="1">
      <c r="A15" s="5" t="inlineStr">
        <is>
          <t>Hạng mục kiểm tra</t>
        </is>
      </c>
      <c r="B15" s="5" t="inlineStr">
        <is>
          <t>Tiêu chí công nhận 'Đạt chuẩn'</t>
        </is>
      </c>
      <c r="C15" s="5" t="n"/>
      <c r="D15" s="5" t="n"/>
      <c r="E15" s="5" t="inlineStr">
        <is>
          <t>Cơ chế hỗ trợ trong SDK (.NET 6 / 7 / 8)</t>
        </is>
      </c>
      <c r="F15" s="5" t="n"/>
      <c r="G15" s="5" t="n"/>
    </row>
    <row r="16" ht="34" customHeight="1">
      <c r="A16" s="24" t="inlineStr">
        <is>
          <t>Trục 1: Logging</t>
        </is>
      </c>
      <c r="B16" s="24" t="inlineStr">
        <is>
          <t>Xuất JSON có cấu trúc; đủ trường bắt buộc (timestamp, severity_text, service_name, environment, trace_id, span_id, correlation_id, message); biến nghiệp vụ dạng snake_case; che PII nhạy cảm.</t>
        </is>
      </c>
      <c r="C16" s="24" t="n"/>
      <c r="D16" s="24" t="n"/>
      <c r="E16" s="24" t="inlineStr">
        <is>
          <t>SDK tự động hóa 90% (Dev chỉ cần viết message và đặt tên biến nghiệp vụ snake_case).</t>
        </is>
      </c>
      <c r="F16" s="24" t="n"/>
      <c r="G16" s="24" t="n"/>
    </row>
    <row r="17" ht="34" customHeight="1">
      <c r="A17" s="24" t="inlineStr">
        <is>
          <t>Trục 2: Tracing</t>
        </is>
      </c>
      <c r="B17" s="24" t="inlineStr">
        <is>
          <t>Lan truyền ngữ cảnh W3C Trace Context (traceparent) &amp; B3; tự động tạo span cho HTTP/DB/Redis; tạo custom span cho tác vụ nội bộ &gt; 200ms.</t>
        </is>
      </c>
      <c r="C17" s="24" t="n"/>
      <c r="D17" s="24" t="n"/>
      <c r="E17" s="24" t="inlineStr">
        <is>
          <t>SDK tự động gắn ASP.NET Core, HttpClient, EF Core, SqlClient, Redis, Quartz instrumentation.</t>
        </is>
      </c>
      <c r="F17" s="24" t="n"/>
      <c r="G17" s="24" t="n"/>
    </row>
    <row r="18" ht="34" customHeight="1">
      <c r="A18" s="24" t="inlineStr">
        <is>
          <t>Trục 3: Metrics</t>
        </is>
      </c>
      <c r="B18" s="24" t="inlineStr">
        <is>
          <t>Đầy đủ Golden Signals (RPS, Latency p50/p95/p99, Error Rate); phát metric tuân thủ observability.sdk.active = 1; nhãn (label) dạng snake_case và Low Cardinality.</t>
        </is>
      </c>
      <c r="C18" s="24" t="n"/>
      <c r="D18" s="24" t="n"/>
      <c r="E18" s="24" t="inlineStr">
        <is>
          <t>SDK tự động phát Golden Signals, Runtime metrics và observability.sdk.active = 1.</t>
        </is>
      </c>
      <c r="F18" s="24" t="n"/>
      <c r="G18" s="24" t="n"/>
    </row>
    <row r="19" ht="34" customHeight="1">
      <c r="A19" s="24" t="inlineStr">
        <is>
          <t>Dashboard Level 1</t>
        </is>
      </c>
      <c r="B19" s="24" t="inlineStr">
        <is>
          <t>Executive Overview (Dành cho Ban điều hành): Hiển thị Golden Signals gồm Traffic (RPS), Latency (p50/p95/p99), Error Rate (%), Saturation.</t>
        </is>
      </c>
      <c r="C19" s="24" t="n"/>
      <c r="D19" s="24" t="n"/>
      <c r="E19" s="24" t="inlineStr">
        <is>
          <t>Dữ liệu tự động đổ về từ OTel Collector sang Elasticsearch/Kibana hoặc SigNoz.</t>
        </is>
      </c>
      <c r="F19" s="24" t="n"/>
      <c r="G19" s="24" t="n"/>
    </row>
    <row r="20" ht="34" customHeight="1">
      <c r="A20" s="24" t="inlineStr">
        <is>
          <t>Dashboard Level 2</t>
        </is>
      </c>
      <c r="B20" s="24" t="inlineStr">
        <is>
          <t>Developer Deep-Dive (Dành cho Dev/Tech Lead): APM chi tiết, tra cứu Waterfall theo Trace ID, danh sách Slow Endpoints &amp; Error Logs.</t>
        </is>
      </c>
      <c r="C20" s="24" t="n"/>
      <c r="D20" s="24" t="n"/>
      <c r="E20" s="24" t="inlineStr">
        <is>
          <t>Truy vết xuyên suốt qua trường trace_id đồng nhất giữa Log và Span.</t>
        </is>
      </c>
      <c r="F20" s="24" t="n"/>
      <c r="G20" s="24" t="n"/>
    </row>
    <row r="21" ht="34" customHeight="1">
      <c r="A21" s="24" t="inlineStr">
        <is>
          <t>Dashboard Level 3</t>
        </is>
      </c>
      <c r="B21" s="24" t="inlineStr">
        <is>
          <t>Infrastructure &amp; Runtime (Dành cho DevOps/SRE): Giám sát CPU, Memory, GC Pause Time, ThreadPool Queue.</t>
        </is>
      </c>
      <c r="C21" s="24" t="n"/>
      <c r="D21" s="24" t="n"/>
      <c r="E21" s="24" t="inlineStr">
        <is>
          <t>SDK tự động thu thập qua OpenTelemetry Runtime Instrumentation.</t>
        </is>
      </c>
      <c r="F21" s="24" t="n"/>
      <c r="G21" s="24" t="n"/>
    </row>
    <row r="22" ht="34" customHeight="1">
      <c r="A22" s="24" t="inlineStr">
        <is>
          <t>Đường truyền OTLP</t>
        </is>
      </c>
      <c r="B22" s="24" t="inlineStr">
        <is>
          <t>Bắt buộc 100% đi qua OpenTelemetry Collector (Single OTLP Path - cổng 4318 HTTP Protobuf). Nghiêm cấm app đẩy trực tiếp vào Kafka/Elasticsearch.</t>
        </is>
      </c>
      <c r="C22" s="24" t="n"/>
      <c r="D22" s="24" t="n"/>
      <c r="E22" s="24" t="inlineStr">
        <is>
          <t>SDK cấu hình mặc định OTLP HTTP Protobuf qua biến môi trường OTEL_EXPORTER_OTLP_ENDPOINT.</t>
        </is>
      </c>
      <c r="F22" s="24" t="n"/>
      <c r="G22" s="24" t="n"/>
    </row>
  </sheetData>
  <mergeCells count="18">
    <mergeCell ref="A14:G14"/>
    <mergeCell ref="B19:D19"/>
    <mergeCell ref="E19:G19"/>
    <mergeCell ref="E22:G22"/>
    <mergeCell ref="B22:D22"/>
    <mergeCell ref="E21:G21"/>
    <mergeCell ref="B17:D17"/>
    <mergeCell ref="B18:D18"/>
    <mergeCell ref="E17:G17"/>
    <mergeCell ref="E18:G18"/>
    <mergeCell ref="E20:G20"/>
    <mergeCell ref="B21:D21"/>
    <mergeCell ref="A1:H1"/>
    <mergeCell ref="B15:D15"/>
    <mergeCell ref="E15:G15"/>
    <mergeCell ref="B16:D16"/>
    <mergeCell ref="B20:D20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2026-09-30T15:34:59Z</dcterms:created>
  <dcterms:modified xmlns:dcterms="http://purl.org/dc/terms/" xmlns:xsi="http://www.w3.org/2001/XMLSchema-instance" xsi:type="dcterms:W3CDTF">2026-09-30T15:35:00Z</dcterms:modified>
</cp:coreProperties>
</file>